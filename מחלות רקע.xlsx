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F:\מפעל\"/>
    </mc:Choice>
  </mc:AlternateContent>
  <xr:revisionPtr revIDLastSave="0" documentId="13_ncr:1_{4BC2C810-D0DF-41C6-B306-B426D76BCE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סיימו" sheetId="2" r:id="rId2"/>
  </sheets>
  <externalReferences>
    <externalReference r:id="rId3"/>
    <externalReference r:id="rId4"/>
  </externalReferences>
  <definedNames>
    <definedName name="_xlnm._FilterDatabase" localSheetId="0" hidden="1">Sheet1!$A$1:$AB$103</definedName>
    <definedName name="_xlnm._FilterDatabase" localSheetId="1" hidden="1">סיימו!$B$1:$T$64</definedName>
    <definedName name="Z_F6A89155_2E4E_4328_A800_49D7F6B8C06F_.wvu.FilterData" localSheetId="0" hidden="1">Sheet1!$A$1:$U$81</definedName>
  </definedNames>
  <calcPr calcId="181029"/>
  <customWorkbookViews>
    <customWorkbookView name="ALEX - תצוגה אישית" guid="{F6A89155-2E4E-4328-A800-49D7F6B8C06F}" mergeInterval="0" personalView="1" maximized="1" xWindow="-8" yWindow="-8" windowWidth="1936" windowHeight="1066" activeSheetId="1"/>
  </customWorkbookView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3" i="1" l="1"/>
  <c r="A25" i="1"/>
  <c r="A43" i="1"/>
  <c r="A45" i="1"/>
  <c r="A62" i="1"/>
  <c r="A102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9" i="1"/>
  <c r="AA100" i="1"/>
  <c r="AA101" i="1"/>
  <c r="AA76" i="1"/>
  <c r="AA53" i="1" l="1"/>
  <c r="O68" i="2" l="1"/>
  <c r="O67" i="2"/>
  <c r="P98" i="1"/>
  <c r="A98" i="1" s="1"/>
  <c r="P59" i="1"/>
  <c r="A59" i="1" s="1"/>
  <c r="P57" i="1"/>
  <c r="A57" i="1" s="1"/>
  <c r="P78" i="1"/>
  <c r="A78" i="1" s="1"/>
  <c r="P79" i="1"/>
  <c r="A79" i="1" s="1"/>
  <c r="P80" i="1"/>
  <c r="A80" i="1" s="1"/>
  <c r="P81" i="1"/>
  <c r="A81" i="1" s="1"/>
  <c r="P82" i="1"/>
  <c r="A82" i="1" s="1"/>
  <c r="P83" i="1"/>
  <c r="A83" i="1" s="1"/>
  <c r="P84" i="1"/>
  <c r="A84" i="1" s="1"/>
  <c r="P85" i="1"/>
  <c r="A85" i="1" s="1"/>
  <c r="P86" i="1"/>
  <c r="A86" i="1" s="1"/>
  <c r="P87" i="1"/>
  <c r="A87" i="1" s="1"/>
  <c r="P88" i="1"/>
  <c r="A88" i="1" s="1"/>
  <c r="P89" i="1"/>
  <c r="A89" i="1" s="1"/>
  <c r="P90" i="1"/>
  <c r="A90" i="1" s="1"/>
  <c r="P91" i="1"/>
  <c r="A91" i="1" s="1"/>
  <c r="P92" i="1"/>
  <c r="A92" i="1" s="1"/>
  <c r="P93" i="1"/>
  <c r="A93" i="1" s="1"/>
  <c r="P94" i="1"/>
  <c r="A94" i="1" s="1"/>
  <c r="P95" i="1"/>
  <c r="A95" i="1" s="1"/>
  <c r="P96" i="1"/>
  <c r="A96" i="1" s="1"/>
  <c r="P97" i="1"/>
  <c r="A97" i="1" s="1"/>
  <c r="P99" i="1"/>
  <c r="A99" i="1" s="1"/>
  <c r="P100" i="1"/>
  <c r="A100" i="1" s="1"/>
  <c r="P101" i="1"/>
  <c r="A101" i="1" s="1"/>
  <c r="P41" i="1"/>
  <c r="A41" i="1" s="1"/>
  <c r="P31" i="1" l="1"/>
  <c r="A31" i="1" s="1"/>
  <c r="P42" i="1"/>
  <c r="A42" i="1" s="1"/>
  <c r="P76" i="1"/>
  <c r="A76" i="1" s="1"/>
  <c r="M65" i="2"/>
  <c r="P49" i="1" l="1"/>
  <c r="A49" i="1" s="1"/>
  <c r="P27" i="1"/>
  <c r="A27" i="1" s="1"/>
  <c r="P39" i="1" l="1"/>
  <c r="A39" i="1" s="1"/>
  <c r="M63" i="2" l="1"/>
  <c r="M26" i="2" l="1"/>
  <c r="P21" i="1"/>
  <c r="A21" i="1" s="1"/>
  <c r="M53" i="2"/>
  <c r="M61" i="2"/>
  <c r="P70" i="1" l="1"/>
  <c r="A70" i="1" s="1"/>
  <c r="P68" i="1" l="1"/>
  <c r="A68" i="1" s="1"/>
  <c r="M17" i="2"/>
  <c r="M58" i="2"/>
  <c r="P3" i="1"/>
  <c r="B2" i="1"/>
  <c r="B3" i="1" s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A3" i="1" l="1"/>
  <c r="P37" i="1"/>
  <c r="A37" i="1" s="1"/>
  <c r="P69" i="1"/>
  <c r="A69" i="1" s="1"/>
  <c r="P7" i="1"/>
  <c r="A7" i="1" s="1"/>
  <c r="M13" i="2"/>
  <c r="P46" i="1"/>
  <c r="A46" i="1" s="1"/>
  <c r="M21" i="2" l="1"/>
  <c r="M55" i="2"/>
  <c r="M51" i="2"/>
  <c r="M56" i="2" l="1"/>
  <c r="M11" i="2" l="1"/>
  <c r="M8" i="2"/>
  <c r="M31" i="2"/>
  <c r="M25" i="2"/>
  <c r="P77" i="1" l="1"/>
  <c r="A77" i="1" s="1"/>
  <c r="P32" i="1"/>
  <c r="A32" i="1" s="1"/>
  <c r="M14" i="2" l="1"/>
  <c r="M50" i="2"/>
  <c r="M28" i="2"/>
  <c r="M34" i="2" l="1"/>
  <c r="M19" i="2"/>
  <c r="P66" i="1"/>
  <c r="A66" i="1" s="1"/>
  <c r="P51" i="1"/>
  <c r="A51" i="1" s="1"/>
  <c r="M27" i="2"/>
  <c r="M9" i="2"/>
  <c r="M37" i="2"/>
  <c r="P5" i="1"/>
  <c r="A5" i="1" s="1"/>
  <c r="M40" i="2"/>
  <c r="P33" i="1"/>
  <c r="A33" i="1" s="1"/>
  <c r="P28" i="1"/>
  <c r="A28" i="1" s="1"/>
  <c r="P29" i="1"/>
  <c r="A29" i="1" s="1"/>
  <c r="P30" i="1"/>
  <c r="A30" i="1" s="1"/>
  <c r="P34" i="1"/>
  <c r="A34" i="1" s="1"/>
  <c r="P35" i="1"/>
  <c r="A35" i="1" s="1"/>
  <c r="P36" i="1"/>
  <c r="A36" i="1" s="1"/>
  <c r="P40" i="1"/>
  <c r="A40" i="1" s="1"/>
  <c r="P44" i="1"/>
  <c r="A44" i="1" s="1"/>
  <c r="P47" i="1"/>
  <c r="A47" i="1" s="1"/>
  <c r="P73" i="1"/>
  <c r="A73" i="1" s="1"/>
  <c r="P48" i="1"/>
  <c r="A48" i="1" s="1"/>
  <c r="P52" i="1"/>
  <c r="A52" i="1" s="1"/>
  <c r="P2" i="1"/>
  <c r="P58" i="1"/>
  <c r="A58" i="1" s="1"/>
  <c r="P4" i="1"/>
  <c r="A4" i="1" s="1"/>
  <c r="P8" i="1"/>
  <c r="A8" i="1" s="1"/>
  <c r="P9" i="1"/>
  <c r="A9" i="1" s="1"/>
  <c r="P12" i="1"/>
  <c r="A12" i="1" s="1"/>
  <c r="P14" i="1"/>
  <c r="A14" i="1" s="1"/>
  <c r="P16" i="1"/>
  <c r="A16" i="1" s="1"/>
  <c r="P17" i="1"/>
  <c r="A17" i="1" s="1"/>
  <c r="P18" i="1"/>
  <c r="A18" i="1" s="1"/>
  <c r="P19" i="1"/>
  <c r="A19" i="1" s="1"/>
  <c r="P38" i="1"/>
  <c r="A38" i="1" s="1"/>
  <c r="P20" i="1"/>
  <c r="A20" i="1" s="1"/>
  <c r="P56" i="1"/>
  <c r="A56" i="1" s="1"/>
  <c r="P23" i="1"/>
  <c r="A23" i="1" s="1"/>
  <c r="P24" i="1"/>
  <c r="A24" i="1" s="1"/>
  <c r="P75" i="1"/>
  <c r="A75" i="1" s="1"/>
  <c r="P10" i="1"/>
  <c r="A10" i="1" s="1"/>
  <c r="P60" i="1"/>
  <c r="A60" i="1" s="1"/>
  <c r="P61" i="1"/>
  <c r="A61" i="1" s="1"/>
  <c r="P11" i="1"/>
  <c r="A11" i="1" s="1"/>
  <c r="P63" i="1"/>
  <c r="A63" i="1" s="1"/>
  <c r="P15" i="1"/>
  <c r="A15" i="1" s="1"/>
  <c r="P64" i="1"/>
  <c r="A64" i="1" s="1"/>
  <c r="P65" i="1"/>
  <c r="A65" i="1" s="1"/>
  <c r="P67" i="1"/>
  <c r="A67" i="1" s="1"/>
  <c r="A103" i="1"/>
  <c r="P22" i="1"/>
  <c r="A22" i="1" s="1"/>
  <c r="P72" i="1"/>
  <c r="A72" i="1" s="1"/>
  <c r="P74" i="1"/>
  <c r="A74" i="1" s="1"/>
  <c r="P50" i="1"/>
  <c r="A50" i="1" s="1"/>
  <c r="P55" i="1"/>
  <c r="A55" i="1" s="1"/>
  <c r="P26" i="1"/>
  <c r="A26" i="1" s="1"/>
  <c r="P6" i="1"/>
  <c r="A6" i="1" s="1"/>
  <c r="P54" i="1"/>
  <c r="A54" i="1" s="1"/>
  <c r="P71" i="1"/>
  <c r="A71" i="1" s="1"/>
  <c r="P53" i="1"/>
  <c r="A53" i="1" s="1"/>
  <c r="M2" i="2"/>
  <c r="A2" i="1" l="1"/>
  <c r="M52" i="2"/>
  <c r="M22" i="2"/>
  <c r="M32" i="2"/>
  <c r="M60" i="2"/>
  <c r="M24" i="2" l="1"/>
  <c r="M43" i="2" l="1"/>
  <c r="M7" i="2"/>
  <c r="M12" i="2" l="1"/>
  <c r="M41" i="2" l="1"/>
  <c r="M29" i="2" l="1"/>
  <c r="M23" i="2"/>
  <c r="B76" i="1" l="1"/>
  <c r="B103" i="1" l="1"/>
  <c r="B53" i="1"/>
  <c r="B54" i="1" s="1"/>
  <c r="B55" i="1" s="1"/>
  <c r="B56" i="1" s="1"/>
  <c r="B77" i="1" l="1"/>
  <c r="B78" i="1" s="1"/>
  <c r="B79" i="1" s="1"/>
  <c r="B80" i="1" s="1"/>
  <c r="B81" i="1" s="1"/>
  <c r="B57" i="1"/>
  <c r="B58" i="1" s="1"/>
  <c r="B27" i="1" s="1"/>
  <c r="B59" i="1" l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82" i="1" l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28" i="1"/>
  <c r="B29" i="1" s="1"/>
  <c r="B30" i="1" s="1"/>
  <c r="B31" i="1" s="1"/>
  <c r="B70" i="1"/>
  <c r="B71" i="1" s="1"/>
  <c r="B72" i="1" s="1"/>
  <c r="B73" i="1" s="1"/>
  <c r="B74" i="1" s="1"/>
  <c r="B75" i="1" s="1"/>
  <c r="B98" i="1" l="1"/>
  <c r="B99" i="1" l="1"/>
  <c r="B100" i="1" s="1"/>
  <c r="B101" i="1" s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10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V62" authorId="0" shapeId="0" xr:uid="{B96D661C-27C2-4D89-B999-B248E278AB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 קהילה תומחת</t>
        </r>
      </text>
    </comment>
  </commentList>
</comments>
</file>

<file path=xl/sharedStrings.xml><?xml version="1.0" encoding="utf-8"?>
<sst xmlns="http://schemas.openxmlformats.org/spreadsheetml/2006/main" count="2546" uniqueCount="1110">
  <si>
    <t>שם מקבל השרות</t>
  </si>
  <si>
    <t>תעודת זהות</t>
  </si>
  <si>
    <t>סוג שירות</t>
  </si>
  <si>
    <t>קופת חולים</t>
  </si>
  <si>
    <t>מחלות רקע</t>
  </si>
  <si>
    <t>מיגבלה</t>
  </si>
  <si>
    <t>רחוב</t>
  </si>
  <si>
    <t>נייד</t>
  </si>
  <si>
    <t>בבית</t>
  </si>
  <si>
    <t>גיל</t>
  </si>
  <si>
    <t>גר עם</t>
  </si>
  <si>
    <t>איש קשר</t>
  </si>
  <si>
    <t>קירבה</t>
  </si>
  <si>
    <t>טל'</t>
  </si>
  <si>
    <t>כללית</t>
  </si>
  <si>
    <t>אישתו</t>
  </si>
  <si>
    <t>אין</t>
  </si>
  <si>
    <t>משפחה</t>
  </si>
  <si>
    <t>בן</t>
  </si>
  <si>
    <t>פיזית</t>
  </si>
  <si>
    <t>לבד</t>
  </si>
  <si>
    <t>אחות</t>
  </si>
  <si>
    <t>מכבי</t>
  </si>
  <si>
    <t>הורים</t>
  </si>
  <si>
    <t>אמא</t>
  </si>
  <si>
    <t>סכרת</t>
  </si>
  <si>
    <t>אח</t>
  </si>
  <si>
    <t>ציפי</t>
  </si>
  <si>
    <t>בת</t>
  </si>
  <si>
    <t>חבר</t>
  </si>
  <si>
    <t>בלוטת התריס</t>
  </si>
  <si>
    <t>לחץ דם גבוה</t>
  </si>
  <si>
    <t>נפש</t>
  </si>
  <si>
    <t>דוד גוטין 15</t>
  </si>
  <si>
    <t>050-8218513</t>
  </si>
  <si>
    <t>08-6423163</t>
  </si>
  <si>
    <t>אחים</t>
  </si>
  <si>
    <t>סכרת ולב</t>
  </si>
  <si>
    <t>העליה 71-5</t>
  </si>
  <si>
    <t>052-2866584</t>
  </si>
  <si>
    <t>שמחה</t>
  </si>
  <si>
    <t>052-3957560</t>
  </si>
  <si>
    <t>אלרגיה</t>
  </si>
  <si>
    <t>שדרות יעלים 50-32</t>
  </si>
  <si>
    <t>054-5957889</t>
  </si>
  <si>
    <t>08-6437610</t>
  </si>
  <si>
    <t>אבא</t>
  </si>
  <si>
    <t>בוריס</t>
  </si>
  <si>
    <t>אלפסי 20-5</t>
  </si>
  <si>
    <t>050-6685994</t>
  </si>
  <si>
    <t>08-6102486</t>
  </si>
  <si>
    <t>תקווה</t>
  </si>
  <si>
    <t>רחבת הראש 13-17</t>
  </si>
  <si>
    <t>054-7870620</t>
  </si>
  <si>
    <t>יוליה</t>
  </si>
  <si>
    <t>054-7168382</t>
  </si>
  <si>
    <t>לב ולחץ דם גבוה</t>
  </si>
  <si>
    <t>בלפור 29/2</t>
  </si>
  <si>
    <t>053-4861491</t>
  </si>
  <si>
    <t>08-6230285</t>
  </si>
  <si>
    <t>רחל</t>
  </si>
  <si>
    <t>כצנלסון 10-4</t>
  </si>
  <si>
    <t>054-4966843</t>
  </si>
  <si>
    <t>שדרות ירושלים 52-15</t>
  </si>
  <si>
    <t>054-3027127</t>
  </si>
  <si>
    <t>08-6418127</t>
  </si>
  <si>
    <t>סכרת ולחץ דם</t>
  </si>
  <si>
    <t>נפש קטועת רגל</t>
  </si>
  <si>
    <t>חן 28-3</t>
  </si>
  <si>
    <t>050-2181041</t>
  </si>
  <si>
    <t>שאול</t>
  </si>
  <si>
    <t>050-3322339</t>
  </si>
  <si>
    <t>יהודה הלוי 50/47</t>
  </si>
  <si>
    <t>054-2827754</t>
  </si>
  <si>
    <t xml:space="preserve">בת </t>
  </si>
  <si>
    <t>יצחק אבינו 12-6</t>
  </si>
  <si>
    <t>050-3022618</t>
  </si>
  <si>
    <t>יבגני</t>
  </si>
  <si>
    <t>העליה 80-3</t>
  </si>
  <si>
    <t>053-5426740</t>
  </si>
  <si>
    <t>שולמית</t>
  </si>
  <si>
    <t>054-7274210</t>
  </si>
  <si>
    <t>משרד הבריאות</t>
  </si>
  <si>
    <t>גולודץ           דימיטרי</t>
  </si>
  <si>
    <t>דובידזון         דימיטרי</t>
  </si>
  <si>
    <t>וייצמן-הרץ     רות</t>
  </si>
  <si>
    <t>כהן              יוסי</t>
  </si>
  <si>
    <t>גולדשר  רפאל    מרסלו</t>
  </si>
  <si>
    <t>מאוחדת</t>
  </si>
  <si>
    <t>ראייה מוגבלת</t>
  </si>
  <si>
    <t>סכיזופרניה</t>
  </si>
  <si>
    <t>נפשית - דיכאון</t>
  </si>
  <si>
    <t>בעיות שמיעה</t>
  </si>
  <si>
    <t>פרקינסון</t>
  </si>
  <si>
    <t>סינוסיטיס כרוני</t>
  </si>
  <si>
    <t>כולסטרול גבוה</t>
  </si>
  <si>
    <t>הרב קוק 18/23</t>
  </si>
  <si>
    <t> 058-6705102</t>
  </si>
  <si>
    <t>08-6100646</t>
  </si>
  <si>
    <t>שלום אש  12/1</t>
  </si>
  <si>
    <t>054-6488823</t>
  </si>
  <si>
    <t>מתיתיהו 3/1</t>
  </si>
  <si>
    <t>דיור מוגן</t>
  </si>
  <si>
    <t>גאלה</t>
  </si>
  <si>
    <t>עו"ס</t>
  </si>
  <si>
    <t>מושה ווילצקי 23</t>
  </si>
  <si>
    <t>053-2240320</t>
  </si>
  <si>
    <t>מזל</t>
  </si>
  <si>
    <t>אישה</t>
  </si>
  <si>
    <t>052-7081881</t>
  </si>
  <si>
    <t>דוד המלך 5/11</t>
  </si>
  <si>
    <t>053-8306635</t>
  </si>
  <si>
    <t>יברה</t>
  </si>
  <si>
    <t>053-3373309</t>
  </si>
  <si>
    <t>054-2689561</t>
  </si>
  <si>
    <t>נינה</t>
  </si>
  <si>
    <t>054-5393450</t>
  </si>
  <si>
    <t>החיד''א 43/13</t>
  </si>
  <si>
    <t>052-2566559</t>
  </si>
  <si>
    <t>08-6103745</t>
  </si>
  <si>
    <t>טטיאנה</t>
  </si>
  <si>
    <t>בת אל   23/15</t>
  </si>
  <si>
    <t>053-4738401</t>
  </si>
  <si>
    <t>אירינה</t>
  </si>
  <si>
    <t>052-7083999</t>
  </si>
  <si>
    <t>קיבוץ בית קמה</t>
  </si>
  <si>
    <t>בעל</t>
  </si>
  <si>
    <t>צדקיהו 14</t>
  </si>
  <si>
    <t>054-2507877</t>
  </si>
  <si>
    <t>שותפים</t>
  </si>
  <si>
    <t>עם ילדים</t>
  </si>
  <si>
    <t>מריה</t>
  </si>
  <si>
    <t>גרין              איליה</t>
  </si>
  <si>
    <t>ישראל          ליאור</t>
  </si>
  <si>
    <t>נוי                 גלעד</t>
  </si>
  <si>
    <t>סרף             אביחי</t>
  </si>
  <si>
    <t>קללאו           אביי</t>
  </si>
  <si>
    <t>תאריך לידה</t>
  </si>
  <si>
    <t>אחזיה  6-7</t>
  </si>
  <si>
    <t>שלמה סקולסקי 28-2</t>
  </si>
  <si>
    <t>אהרונסון 38-4</t>
  </si>
  <si>
    <t>עוזי נרקיס 17-1</t>
  </si>
  <si>
    <t>עוזי נרקיס 20-2</t>
  </si>
  <si>
    <t>שאול המלך אלפסי 129</t>
  </si>
  <si>
    <t>הוסטל</t>
  </si>
  <si>
    <t>050-8580919</t>
  </si>
  <si>
    <t>054-9864357</t>
  </si>
  <si>
    <t>054-4908330</t>
  </si>
  <si>
    <t>054-5266627</t>
  </si>
  <si>
    <t>053-5492778</t>
  </si>
  <si>
    <t>052-2959701</t>
  </si>
  <si>
    <t>054-8012719</t>
  </si>
  <si>
    <t>051-5426487</t>
  </si>
  <si>
    <t>054-2009558</t>
  </si>
  <si>
    <t>08-6588363</t>
  </si>
  <si>
    <t>054-7233487</t>
  </si>
  <si>
    <t>08-6487512</t>
  </si>
  <si>
    <t>אם</t>
  </si>
  <si>
    <t>שכן</t>
  </si>
  <si>
    <t>דוד</t>
  </si>
  <si>
    <t>אמא- דניאלה</t>
  </si>
  <si>
    <t>משה</t>
  </si>
  <si>
    <t>050-7665669</t>
  </si>
  <si>
    <t>054-9964862</t>
  </si>
  <si>
    <t>אורית</t>
  </si>
  <si>
    <t>קוטי</t>
  </si>
  <si>
    <t>054-3944149</t>
  </si>
  <si>
    <t>אמי</t>
  </si>
  <si>
    <t>054-2866833</t>
  </si>
  <si>
    <t>סטלה</t>
  </si>
  <si>
    <t>054-5989851</t>
  </si>
  <si>
    <t>מגמגם</t>
  </si>
  <si>
    <t>וענונו            חופית</t>
  </si>
  <si>
    <t>פרייאאנטה     אנדרי</t>
  </si>
  <si>
    <t>הרב אוזיאל 24/36</t>
  </si>
  <si>
    <t>054-7627633</t>
  </si>
  <si>
    <t>יהודה קדש 1/2</t>
  </si>
  <si>
    <t>053-9861831</t>
  </si>
  <si>
    <t>אליהו בן חורי 5/14</t>
  </si>
  <si>
    <t>054-7628036</t>
  </si>
  <si>
    <t>משה שרת 22</t>
  </si>
  <si>
    <t xml:space="preserve">עולה הגרדום 21/5 </t>
  </si>
  <si>
    <t>רוקח ישראל 15\18</t>
  </si>
  <si>
    <t>054-5456306</t>
  </si>
  <si>
    <t>יהודה הלוי  48/2</t>
  </si>
  <si>
    <t>054-2047933</t>
  </si>
  <si>
    <t>משה שרת 22/12</t>
  </si>
  <si>
    <t>052-4858146</t>
  </si>
  <si>
    <t>052-2660398</t>
  </si>
  <si>
    <t>רחבת הרא''ש 36\11</t>
  </si>
  <si>
    <t>הפרעה דו קוטביט</t>
  </si>
  <si>
    <t xml:space="preserve">דוברובקין     יוליה </t>
  </si>
  <si>
    <t>ביטון            נטלי</t>
  </si>
  <si>
    <t>ביגול             ילנה</t>
  </si>
  <si>
    <t>גוהרי            יורם</t>
  </si>
  <si>
    <t>מנחם           אסתר</t>
  </si>
  <si>
    <t>לחץ דם</t>
  </si>
  <si>
    <t>רחבת מולדת 17/12</t>
  </si>
  <si>
    <t>רמבם 70/15</t>
  </si>
  <si>
    <t>שאול המלן  26/2</t>
  </si>
  <si>
    <t>חת''ם סופר 38/9</t>
  </si>
  <si>
    <t>עם בן</t>
  </si>
  <si>
    <t>054-6648437</t>
  </si>
  <si>
    <t>053-7136353</t>
  </si>
  <si>
    <t>וילי</t>
  </si>
  <si>
    <t>055-6650224</t>
  </si>
  <si>
    <t>יהודת</t>
  </si>
  <si>
    <t>052-7519281</t>
  </si>
  <si>
    <t>054-3400545</t>
  </si>
  <si>
    <t>גילאי            יוסרה</t>
  </si>
  <si>
    <t>מויאל          אפרת</t>
  </si>
  <si>
    <t>רמבן   86/2</t>
  </si>
  <si>
    <t>רמבן   90/8</t>
  </si>
  <si>
    <t>שאול המלך  159/1</t>
  </si>
  <si>
    <t>שדרות  רגר49./17</t>
  </si>
  <si>
    <t>אימה</t>
  </si>
  <si>
    <t>ילדים</t>
  </si>
  <si>
    <t>הבת</t>
  </si>
  <si>
    <t>052-7083686</t>
  </si>
  <si>
    <t>רותי</t>
  </si>
  <si>
    <t>אילנית</t>
  </si>
  <si>
    <t>מדריכה</t>
  </si>
  <si>
    <t>ספיר  בת</t>
  </si>
  <si>
    <t>חגית</t>
  </si>
  <si>
    <t>אווה</t>
  </si>
  <si>
    <t>077-5242746</t>
  </si>
  <si>
    <t>058-6952601</t>
  </si>
  <si>
    <t>052-3628243</t>
  </si>
  <si>
    <t>בונדר            מרינה</t>
  </si>
  <si>
    <t>גיעאו             דליה</t>
  </si>
  <si>
    <t>דוידיאן           אורלי</t>
  </si>
  <si>
    <t>טשומה          הנוק</t>
  </si>
  <si>
    <t>יאנקוביץ        ויקטוריה</t>
  </si>
  <si>
    <t>פלמונוב       לריסה</t>
  </si>
  <si>
    <t>משרד הבטחון</t>
  </si>
  <si>
    <t>פיטיטיס(כבד) וקרצינומה(סרטן)</t>
  </si>
  <si>
    <t>מיכאל חזני 28/16</t>
  </si>
  <si>
    <t>וינגט 2/5</t>
  </si>
  <si>
    <t>מיבצע יקב 12/2</t>
  </si>
  <si>
    <t>ביאליק 120/3</t>
  </si>
  <si>
    <t>הצדיק מירושלים 8/29</t>
  </si>
  <si>
    <t>שדורות יעלים 80</t>
  </si>
  <si>
    <t>מיבצע יואב 33/12</t>
  </si>
  <si>
    <t>אברבנל 8/44</t>
  </si>
  <si>
    <t>סנדרין 47/26</t>
  </si>
  <si>
    <t>עם בעלה</t>
  </si>
  <si>
    <t>רויטל</t>
  </si>
  <si>
    <t>גרגורי</t>
  </si>
  <si>
    <t>שולה</t>
  </si>
  <si>
    <t>גילה</t>
  </si>
  <si>
    <t>מתרגמת</t>
  </si>
  <si>
    <t>אריה</t>
  </si>
  <si>
    <t>אסרסאי         אברהם</t>
  </si>
  <si>
    <t>אקימוב          אלכס</t>
  </si>
  <si>
    <t>בנבנישתי       נפתלי</t>
  </si>
  <si>
    <t>וובציק           פאבל</t>
  </si>
  <si>
    <t>יצהר            יצחק</t>
  </si>
  <si>
    <t>ספיאשוולי     אליהו</t>
  </si>
  <si>
    <t>פלודרמן        קלרה</t>
  </si>
  <si>
    <t>שיטרית          נטלי</t>
  </si>
  <si>
    <t>אנדרי</t>
  </si>
  <si>
    <t>שלום</t>
  </si>
  <si>
    <t>אהרון</t>
  </si>
  <si>
    <t>052-8284401</t>
  </si>
  <si>
    <t>050-2216582</t>
  </si>
  <si>
    <t>050-6586835</t>
  </si>
  <si>
    <t>052-5601880</t>
  </si>
  <si>
    <t>053-7616476</t>
  </si>
  <si>
    <t>052-4378358</t>
  </si>
  <si>
    <t>08-6424164</t>
  </si>
  <si>
    <t>052-7734184</t>
  </si>
  <si>
    <t>053-2337561</t>
  </si>
  <si>
    <t>052-5755972</t>
  </si>
  <si>
    <t>050-9308430</t>
  </si>
  <si>
    <t>08-6489720</t>
  </si>
  <si>
    <t>077-3416487</t>
  </si>
  <si>
    <t xml:space="preserve"> 08-6489784</t>
  </si>
  <si>
    <t>053-9689695</t>
  </si>
  <si>
    <t>050-7667363</t>
  </si>
  <si>
    <t>054-2510501</t>
  </si>
  <si>
    <t>058-4644828</t>
  </si>
  <si>
    <t>050-4122539</t>
  </si>
  <si>
    <t>054-2083204</t>
  </si>
  <si>
    <t>054-2494520</t>
  </si>
  <si>
    <t>053-3233137</t>
  </si>
  <si>
    <t>050-3632229</t>
  </si>
  <si>
    <t>052-6043225</t>
  </si>
  <si>
    <t>053-8725359</t>
  </si>
  <si>
    <t>054-3383092</t>
  </si>
  <si>
    <t>052-6041824</t>
  </si>
  <si>
    <t>050-8858330</t>
  </si>
  <si>
    <t>054-2012540</t>
  </si>
  <si>
    <t>050-2225412</t>
  </si>
  <si>
    <t>053-3359220</t>
  </si>
  <si>
    <t>054-7721401</t>
  </si>
  <si>
    <t>053-5285582</t>
  </si>
  <si>
    <t>054-2012530</t>
  </si>
  <si>
    <t>054-3982323</t>
  </si>
  <si>
    <t>077-3201027</t>
  </si>
  <si>
    <t>08-6418254</t>
  </si>
  <si>
    <t>058-7897180</t>
  </si>
  <si>
    <t>08-6199715</t>
  </si>
  <si>
    <t>08-6440828</t>
  </si>
  <si>
    <t>077-41191184</t>
  </si>
  <si>
    <t>08-6421596</t>
  </si>
  <si>
    <t>08-6414234\1</t>
  </si>
  <si>
    <t>072-2555956</t>
  </si>
  <si>
    <t>08-6437424</t>
  </si>
  <si>
    <t>054-7995532</t>
  </si>
  <si>
    <t>מיבצע דני 10, הוסטל אביבים</t>
  </si>
  <si>
    <t>052-6759650</t>
  </si>
  <si>
    <t>רחבת פל- ים 52/26</t>
  </si>
  <si>
    <t>052-6383876</t>
  </si>
  <si>
    <t>אבוחצירה      לימור</t>
  </si>
  <si>
    <t>אלבז             יהודה</t>
  </si>
  <si>
    <t>סוסלוב          אלכסנדר</t>
  </si>
  <si>
    <t>055-5524648</t>
  </si>
  <si>
    <t>054-4919946</t>
  </si>
  <si>
    <t>בעיות בגב</t>
  </si>
  <si>
    <t>החלפת ברך</t>
  </si>
  <si>
    <t>לריסה</t>
  </si>
  <si>
    <t>ויטלי</t>
  </si>
  <si>
    <t>052-6462940</t>
  </si>
  <si>
    <t>053-5285583</t>
  </si>
  <si>
    <t>054-4887245</t>
  </si>
  <si>
    <t>סדנה</t>
  </si>
  <si>
    <t>052-3925119</t>
  </si>
  <si>
    <t>בודניימר   8 דירה 2</t>
  </si>
  <si>
    <t>077-7878680</t>
  </si>
  <si>
    <t>שושנה</t>
  </si>
  <si>
    <t>050-6599179</t>
  </si>
  <si>
    <t>050-2343122</t>
  </si>
  <si>
    <t>054-7899391</t>
  </si>
  <si>
    <t>050-8858298</t>
  </si>
  <si>
    <t>אבישי 43  - הוסטל בית אבישי</t>
  </si>
  <si>
    <t>דיויד עו"ס</t>
  </si>
  <si>
    <t>קביים</t>
  </si>
  <si>
    <t>הרב קוק 7/19</t>
  </si>
  <si>
    <t>נילי</t>
  </si>
  <si>
    <t>054-5557968</t>
  </si>
  <si>
    <t>רחבת עשאל 45/5</t>
  </si>
  <si>
    <t>אחייות</t>
  </si>
  <si>
    <t>052-9323421</t>
  </si>
  <si>
    <t>053-3358070</t>
  </si>
  <si>
    <t>054-5985141</t>
  </si>
  <si>
    <t>עו''ס</t>
  </si>
  <si>
    <t>054-6309369</t>
  </si>
  <si>
    <t>מישה</t>
  </si>
  <si>
    <t>ניסים</t>
  </si>
  <si>
    <t>050-6928113</t>
  </si>
  <si>
    <t>אלא</t>
  </si>
  <si>
    <t>054-4917292</t>
  </si>
  <si>
    <t>שי</t>
  </si>
  <si>
    <t>דורינה</t>
  </si>
  <si>
    <t>משפה</t>
  </si>
  <si>
    <t>מאר</t>
  </si>
  <si>
    <t>באל</t>
  </si>
  <si>
    <t>רהט שכונה 7 בית 50</t>
  </si>
  <si>
    <t>אשתו</t>
  </si>
  <si>
    <t>055-9777965</t>
  </si>
  <si>
    <t xml:space="preserve">וייסמן          קרניאל        </t>
  </si>
  <si>
    <t xml:space="preserve">הר חרמון 25  </t>
  </si>
  <si>
    <t>במבן 24/16</t>
  </si>
  <si>
    <t>לאומית</t>
  </si>
  <si>
    <t>סוכרת, סרטן עור,ארוע מוחי</t>
  </si>
  <si>
    <t>בקע בקיבה. אלרגיה לחול ואבק ופריחה</t>
  </si>
  <si>
    <t>רחבת השילה 15 ב"ש</t>
  </si>
  <si>
    <t>דרך מצדה 212-65</t>
  </si>
  <si>
    <t>058-7725248</t>
  </si>
  <si>
    <t xml:space="preserve">ריאזנוב        אולגה          </t>
  </si>
  <si>
    <t>077-9500910</t>
  </si>
  <si>
    <t>052-3907072</t>
  </si>
  <si>
    <t>08-6417941</t>
  </si>
  <si>
    <t>גכט              בוריס</t>
  </si>
  <si>
    <t>בלנקי            איליה</t>
  </si>
  <si>
    <t>טרננקו          טטיאנה</t>
  </si>
  <si>
    <t>זפרני             דוד</t>
  </si>
  <si>
    <t>קוזלוב          יבגניי</t>
  </si>
  <si>
    <t xml:space="preserve">פרז'וגין         ולדיסלב </t>
  </si>
  <si>
    <t>עם שלום       אילנה</t>
  </si>
  <si>
    <t>שכטר            אהרון</t>
  </si>
  <si>
    <t>רוסלקין         אנדרי</t>
  </si>
  <si>
    <t>אזולאי           מרים</t>
  </si>
  <si>
    <t>דסטה           יצחק</t>
  </si>
  <si>
    <t>אביסידרים     דוד</t>
  </si>
  <si>
    <t xml:space="preserve">פישמן           זכר </t>
  </si>
  <si>
    <t>פולוליאך       ודים</t>
  </si>
  <si>
    <t>סהר              יעקב</t>
  </si>
  <si>
    <t>הרב  צבאן 26/18</t>
  </si>
  <si>
    <t xml:space="preserve">אוריה החיתי 2  </t>
  </si>
  <si>
    <t>052-3180040</t>
  </si>
  <si>
    <t>מזל  עו"ס</t>
  </si>
  <si>
    <t xml:space="preserve">אזייב            דניאל           </t>
  </si>
  <si>
    <t xml:space="preserve">שריקר           בועז           </t>
  </si>
  <si>
    <t xml:space="preserve">אברזל          חיים            </t>
  </si>
  <si>
    <t xml:space="preserve">בשן             יפעת           </t>
  </si>
  <si>
    <t>וטורי            יניב</t>
  </si>
  <si>
    <t xml:space="preserve">שוורץ           ראול            </t>
  </si>
  <si>
    <t xml:space="preserve">וולקומרסקי   רומן              </t>
  </si>
  <si>
    <t xml:space="preserve">פלדמן          רומן              </t>
  </si>
  <si>
    <t xml:space="preserve">קרסיק          הלנה           </t>
  </si>
  <si>
    <t>דלל              מדי</t>
  </si>
  <si>
    <t>מס' בסדנה</t>
  </si>
  <si>
    <t>052-6130357</t>
  </si>
  <si>
    <t>050-6658857</t>
  </si>
  <si>
    <t>אפילפסיה</t>
  </si>
  <si>
    <t>055-2941866</t>
  </si>
  <si>
    <t>אהרון מסקין 7-4 בש</t>
  </si>
  <si>
    <t>יופה             טטיאנה</t>
  </si>
  <si>
    <t>שרת משה 45/16</t>
  </si>
  <si>
    <t xml:space="preserve">מאוחדת </t>
  </si>
  <si>
    <t>051-5885412</t>
  </si>
  <si>
    <t xml:space="preserve">סכרת </t>
  </si>
  <si>
    <t xml:space="preserve">קולטין          ויטלי            </t>
  </si>
  <si>
    <t xml:space="preserve">גרשומוב       ניסים           </t>
  </si>
  <si>
    <t>מרים</t>
  </si>
  <si>
    <t>דוב יוסף   29-4</t>
  </si>
  <si>
    <t>052-5565898</t>
  </si>
  <si>
    <t>052-6843406</t>
  </si>
  <si>
    <t>054-7157579</t>
  </si>
  <si>
    <t>טמרה</t>
  </si>
  <si>
    <t>עבנים בכליות, כסרת</t>
  </si>
  <si>
    <t>הודיה</t>
  </si>
  <si>
    <t>מנגיסטו         זוהר</t>
  </si>
  <si>
    <t>מקלף מרדכי 60/4</t>
  </si>
  <si>
    <t>052-7305182</t>
  </si>
  <si>
    <t>מרה</t>
  </si>
  <si>
    <t>054-2195344</t>
  </si>
  <si>
    <t>גרסימנקו       ילנה</t>
  </si>
  <si>
    <t>רחבת הרב עוזיאל 20/21</t>
  </si>
  <si>
    <t>058-5851523</t>
  </si>
  <si>
    <t>אלכסיי</t>
  </si>
  <si>
    <t>052-7004560</t>
  </si>
  <si>
    <t>בזל 72/3</t>
  </si>
  <si>
    <t>054-7979480</t>
  </si>
  <si>
    <t>רינן</t>
  </si>
  <si>
    <t>054-7468088</t>
  </si>
  <si>
    <t>052-5017305</t>
  </si>
  <si>
    <t>פוסט תראומה</t>
  </si>
  <si>
    <t>הפרעה סכיזואפקטיבית</t>
  </si>
  <si>
    <t>סכיזואפרניה</t>
  </si>
  <si>
    <t>ירוחם, השחר 19</t>
  </si>
  <si>
    <t>לידור</t>
  </si>
  <si>
    <t>052-6012063</t>
  </si>
  <si>
    <t>דרך מצדה 192/29</t>
  </si>
  <si>
    <t>052-8436427</t>
  </si>
  <si>
    <t>טבריה 19/22</t>
  </si>
  <si>
    <t>052-7518455</t>
  </si>
  <si>
    <t>054-7425630</t>
  </si>
  <si>
    <t>עוזי</t>
  </si>
  <si>
    <t>הפרעות קשר וריכוז,קושי קבלת סמכות</t>
  </si>
  <si>
    <t>אל חדד        דוד משה</t>
  </si>
  <si>
    <t>052-6052294</t>
  </si>
  <si>
    <t>בני אור 14/28</t>
  </si>
  <si>
    <t>רינה</t>
  </si>
  <si>
    <t>052-2523555</t>
  </si>
  <si>
    <t>מולה             ירח</t>
  </si>
  <si>
    <t>מבצע קלשון 15/23</t>
  </si>
  <si>
    <t>052-5596875</t>
  </si>
  <si>
    <t>מכור ריאל     ריאל</t>
  </si>
  <si>
    <t>חנה בשן</t>
  </si>
  <si>
    <t>055-2596921</t>
  </si>
  <si>
    <t>שאול המלך 31  - הוסטל בית לאה</t>
  </si>
  <si>
    <t>הוכפרבר      חואן סבסטיאן</t>
  </si>
  <si>
    <t>050-3083356</t>
  </si>
  <si>
    <t>אראל 14/11</t>
  </si>
  <si>
    <t>054-6969027</t>
  </si>
  <si>
    <t>אלאי</t>
  </si>
  <si>
    <t>ביניאשוילי      מיכאל</t>
  </si>
  <si>
    <t>מיכאל ברלב 10/12</t>
  </si>
  <si>
    <t>054-9517479</t>
  </si>
  <si>
    <t>אנה</t>
  </si>
  <si>
    <t>050-5794159</t>
  </si>
  <si>
    <t>טהל               אור פנחס</t>
  </si>
  <si>
    <t>שזר 15/2</t>
  </si>
  <si>
    <t>050-9660369</t>
  </si>
  <si>
    <t>שוטפים</t>
  </si>
  <si>
    <t>מדריך</t>
  </si>
  <si>
    <t>052-8882944</t>
  </si>
  <si>
    <t>F20 SCHIZOFRENIA</t>
  </si>
  <si>
    <t>פסיקוב          איגור</t>
  </si>
  <si>
    <t>מנדי               אברם</t>
  </si>
  <si>
    <t>קוזנצוב          מרינה</t>
  </si>
  <si>
    <t>ציגלניק          מרים</t>
  </si>
  <si>
    <t>צאפני            חנה</t>
  </si>
  <si>
    <t>בית מרחבים</t>
  </si>
  <si>
    <t>אסתלה</t>
  </si>
  <si>
    <t>052-6607451</t>
  </si>
  <si>
    <t>סיים</t>
  </si>
  <si>
    <t>פגיעות עצמיות</t>
  </si>
  <si>
    <t>050-9920576</t>
  </si>
  <si>
    <t>עדי</t>
  </si>
  <si>
    <t>050-8330713</t>
  </si>
  <si>
    <t>קהילה תומכת "בית גיא"</t>
  </si>
  <si>
    <t>בית גיא</t>
  </si>
  <si>
    <t>054-7989108</t>
  </si>
  <si>
    <t>אלפסי 23 דירה 34</t>
  </si>
  <si>
    <t>055-9205140</t>
  </si>
  <si>
    <t>050-8781263</t>
  </si>
  <si>
    <t>דמוזה          מרו</t>
  </si>
  <si>
    <t>ארן זלמן 27</t>
  </si>
  <si>
    <t>054-5757216</t>
  </si>
  <si>
    <t>רוטם שלב</t>
  </si>
  <si>
    <t>050-2282515</t>
  </si>
  <si>
    <t>אריה            יהושוע שלמה</t>
  </si>
  <si>
    <t xml:space="preserve">מנגיסטו         סולומן           </t>
  </si>
  <si>
    <t>יואל</t>
  </si>
  <si>
    <t>אבני             אוהד גל</t>
  </si>
  <si>
    <t>רודרמן           איליה</t>
  </si>
  <si>
    <t>רד"ק 17/4</t>
  </si>
  <si>
    <t>055-2702591</t>
  </si>
  <si>
    <t>לבן                לאוניד</t>
  </si>
  <si>
    <t>הנוטר 24 הוסטל "בית הקשת"</t>
  </si>
  <si>
    <t>050-2575029</t>
  </si>
  <si>
    <t>פליגל          מרגריטה</t>
  </si>
  <si>
    <t>054-4402987</t>
  </si>
  <si>
    <t>גרייס           ירוסלב</t>
  </si>
  <si>
    <t>רייק חביבה 515/23</t>
  </si>
  <si>
    <t>054-9459266</t>
  </si>
  <si>
    <t>08-6413694</t>
  </si>
  <si>
    <t>מטאמת שיקום</t>
  </si>
  <si>
    <t>יוליה ורצקיי</t>
  </si>
  <si>
    <t>054-7271653</t>
  </si>
  <si>
    <t>דסטה          אמבט</t>
  </si>
  <si>
    <t>אברמוב        בוריס</t>
  </si>
  <si>
    <t>רותם פרץ</t>
  </si>
  <si>
    <t>מתאםת שיקום</t>
  </si>
  <si>
    <t>052-7730763</t>
  </si>
  <si>
    <t xml:space="preserve"> SCHIZOFRENIA</t>
  </si>
  <si>
    <t>053-5516478</t>
  </si>
  <si>
    <t>053-2824088</t>
  </si>
  <si>
    <t>לא רוצה</t>
  </si>
  <si>
    <t>שמאלי אליעזר 9/9</t>
  </si>
  <si>
    <t>עם בת</t>
  </si>
  <si>
    <t>052-3624164</t>
  </si>
  <si>
    <t>גוטמן נחום 11/3</t>
  </si>
  <si>
    <t>בן אור          טל דב</t>
  </si>
  <si>
    <t>בן דוד          ירדנה</t>
  </si>
  <si>
    <t>אסור           מרינה</t>
  </si>
  <si>
    <t>נתמכת</t>
  </si>
  <si>
    <t>ביטון             יניב</t>
  </si>
  <si>
    <t>טוחולוב         רומן</t>
  </si>
  <si>
    <t>052-2337561</t>
  </si>
  <si>
    <t>דרך המשחררים 14/78</t>
  </si>
  <si>
    <t>052-6278936</t>
  </si>
  <si>
    <t>052-6278935</t>
  </si>
  <si>
    <t>אמירא</t>
  </si>
  <si>
    <t>יקובסון           דמיטרי</t>
  </si>
  <si>
    <t>058-7922573</t>
  </si>
  <si>
    <t>הנוטר 32 "חץ"</t>
  </si>
  <si>
    <t>058-7866186</t>
  </si>
  <si>
    <t>שרון עמית חץ</t>
  </si>
  <si>
    <t>כהן                רועי איתן</t>
  </si>
  <si>
    <t>אלוש           אורלי</t>
  </si>
  <si>
    <t>050-8805179</t>
  </si>
  <si>
    <t>ניעב</t>
  </si>
  <si>
    <t>ידיד</t>
  </si>
  <si>
    <t>פוטפוב          יבגני</t>
  </si>
  <si>
    <t>052-7041140</t>
  </si>
  <si>
    <t>050-7567972</t>
  </si>
  <si>
    <t xml:space="preserve"> דסטה         סיסאי</t>
  </si>
  <si>
    <t>ברוידס אברהם 28</t>
  </si>
  <si>
    <t>058-6006616</t>
  </si>
  <si>
    <t>טלפון</t>
  </si>
  <si>
    <t>לין</t>
  </si>
  <si>
    <t>053-9285542</t>
  </si>
  <si>
    <t>050-5189899</t>
  </si>
  <si>
    <t>054-8338096</t>
  </si>
  <si>
    <t>050-4222383</t>
  </si>
  <si>
    <t>המצדה 125/8</t>
  </si>
  <si>
    <t>יבגניה</t>
  </si>
  <si>
    <t>054-2011959</t>
  </si>
  <si>
    <t>סיום</t>
  </si>
  <si>
    <t xml:space="preserve">כהן             סיגלית       </t>
  </si>
  <si>
    <t>רוזט</t>
  </si>
  <si>
    <t>050-2444066</t>
  </si>
  <si>
    <t>אלגלאד         אמאל</t>
  </si>
  <si>
    <t>053-5400599</t>
  </si>
  <si>
    <t>ילנה</t>
  </si>
  <si>
    <t>053-7031776</t>
  </si>
  <si>
    <t>יבסייב          אלכסנדר</t>
  </si>
  <si>
    <t>מבצע משה 10/14</t>
  </si>
  <si>
    <t>050-2277609</t>
  </si>
  <si>
    <t>050-2277608</t>
  </si>
  <si>
    <t>יפים</t>
  </si>
  <si>
    <t>רמח"ל 6/4</t>
  </si>
  <si>
    <t>054-7664553</t>
  </si>
  <si>
    <t>בת זוג</t>
  </si>
  <si>
    <t>בלאי           שמחה</t>
  </si>
  <si>
    <t>נמיר מרדכי 3/15</t>
  </si>
  <si>
    <t>בטיקה</t>
  </si>
  <si>
    <t>050-6495640</t>
  </si>
  <si>
    <t>053-8322210</t>
  </si>
  <si>
    <t>אפלפסיה</t>
  </si>
  <si>
    <t>עליה            מירי</t>
  </si>
  <si>
    <t>054-4653840</t>
  </si>
  <si>
    <t>ישראל</t>
  </si>
  <si>
    <t>054-4653849</t>
  </si>
  <si>
    <t>יעקוב           יהודה</t>
  </si>
  <si>
    <t>דולצ'ין אריה 9/1</t>
  </si>
  <si>
    <t>050-2595810</t>
  </si>
  <si>
    <t>אוסנת</t>
  </si>
  <si>
    <t>052-2320246</t>
  </si>
  <si>
    <t>זמיר            מורן</t>
  </si>
  <si>
    <t>052-2736991</t>
  </si>
  <si>
    <t>053-3300986</t>
  </si>
  <si>
    <t>דהן              דוד</t>
  </si>
  <si>
    <t>033459801</t>
  </si>
  <si>
    <t>052-5199891</t>
  </si>
  <si>
    <t>גולומוב 7/1</t>
  </si>
  <si>
    <t>052-3256121</t>
  </si>
  <si>
    <t>יעלים 82/10</t>
  </si>
  <si>
    <t>054-6903147</t>
  </si>
  <si>
    <t>ירגאלה</t>
  </si>
  <si>
    <t>052-9262760</t>
  </si>
  <si>
    <t>קרנאוז         יבגניה</t>
  </si>
  <si>
    <t>שוחחת דברים</t>
  </si>
  <si>
    <t>גרוסמן מאיר 21/2</t>
  </si>
  <si>
    <t>אלברט        דמיטריי</t>
  </si>
  <si>
    <t>כחול לבן 4/18</t>
  </si>
  <si>
    <t>053-3090497</t>
  </si>
  <si>
    <t>לאוניד</t>
  </si>
  <si>
    <t>053-3090511</t>
  </si>
  <si>
    <t>יהודה הלוי 48/28</t>
  </si>
  <si>
    <t>יורי</t>
  </si>
  <si>
    <t>054-9276454</t>
  </si>
  <si>
    <t>052-5229274</t>
  </si>
  <si>
    <t>פרומן           ברוך</t>
  </si>
  <si>
    <t>מבצע עובדה 14/15</t>
  </si>
  <si>
    <t>054-4737961</t>
  </si>
  <si>
    <t>חנה</t>
  </si>
  <si>
    <t>טוחבטולין      רומן</t>
  </si>
  <si>
    <t xml:space="preserve">יוסף             אלמוג </t>
  </si>
  <si>
    <t>רחבת אופירה 34/12</t>
  </si>
  <si>
    <t>050-7160184</t>
  </si>
  <si>
    <t>אדווה</t>
  </si>
  <si>
    <t>054-7689171</t>
  </si>
  <si>
    <t>ע"ס</t>
  </si>
  <si>
    <t>רוטם שלו</t>
  </si>
  <si>
    <t>050-4747052</t>
  </si>
  <si>
    <t>שרנדו            אולגה</t>
  </si>
  <si>
    <t>054-7466487</t>
  </si>
  <si>
    <t>לויאן  אזולאי  לילך</t>
  </si>
  <si>
    <t>ככלית</t>
  </si>
  <si>
    <t>050-6986477</t>
  </si>
  <si>
    <t>בעלי התוספות 20/4</t>
  </si>
  <si>
    <t>054-76889171</t>
  </si>
  <si>
    <t>דיור מוגן "גוונים"</t>
  </si>
  <si>
    <t xml:space="preserve">לוגסי               אלי      </t>
  </si>
  <si>
    <t>אבו יחיה        עבד</t>
  </si>
  <si>
    <t>זלמן ארן 25 בית מרחבים</t>
  </si>
  <si>
    <t>אטקין          יעקוב</t>
  </si>
  <si>
    <t>050-7781467</t>
  </si>
  <si>
    <t>050-4823328</t>
  </si>
  <si>
    <t>מורדוכוביץ    איגור</t>
  </si>
  <si>
    <t>שראו             גלעד</t>
  </si>
  <si>
    <t>ספורטס        אפרת</t>
  </si>
  <si>
    <t>ליבין              איגור</t>
  </si>
  <si>
    <t>מושייב          לריסה</t>
  </si>
  <si>
    <t>קולטן           עליזה</t>
  </si>
  <si>
    <t>שפובלוב      איגור</t>
  </si>
  <si>
    <t>דהן                יוסי</t>
  </si>
  <si>
    <t xml:space="preserve">ברונשטיין     סבטלנה       </t>
  </si>
  <si>
    <t>054-5488408</t>
  </si>
  <si>
    <t>054-2997477</t>
  </si>
  <si>
    <t>ליפשיץ         אורלית</t>
  </si>
  <si>
    <t>נפשית, סוכר, לחץ דם</t>
  </si>
  <si>
    <t>054-8914220</t>
  </si>
  <si>
    <t>054-3238446</t>
  </si>
  <si>
    <t>אזולאי          מאיר</t>
  </si>
  <si>
    <t>OCD , ניסיון אובדני</t>
  </si>
  <si>
    <t>054-9581650</t>
  </si>
  <si>
    <t>נקבה</t>
  </si>
  <si>
    <t>מין</t>
  </si>
  <si>
    <t>זכר</t>
  </si>
  <si>
    <t>גרייפל          מקס</t>
  </si>
  <si>
    <t>052-8827250</t>
  </si>
  <si>
    <t xml:space="preserve">אמא </t>
  </si>
  <si>
    <t>אנגלה</t>
  </si>
  <si>
    <t>054-5391554</t>
  </si>
  <si>
    <t>נחל בוקק 35</t>
  </si>
  <si>
    <t>050-6988901</t>
  </si>
  <si>
    <t>קלרה</t>
  </si>
  <si>
    <t>052-3422680</t>
  </si>
  <si>
    <t>אריסטרך</t>
  </si>
  <si>
    <t>קדוסי            איתן</t>
  </si>
  <si>
    <t>רונן</t>
  </si>
  <si>
    <t>052-5917911</t>
  </si>
  <si>
    <t>054-7549595</t>
  </si>
  <si>
    <t>דביאטוב        גריגורי</t>
  </si>
  <si>
    <t>דליה רוביקוביץ 19</t>
  </si>
  <si>
    <t>052-5875843</t>
  </si>
  <si>
    <t xml:space="preserve">פיקדו           אדיסלם       </t>
  </si>
  <si>
    <t>דולצ'ין אריה 3/15</t>
  </si>
  <si>
    <t>050-2291049</t>
  </si>
  <si>
    <t>052-6411878</t>
  </si>
  <si>
    <t>050-2598881</t>
  </si>
  <si>
    <t>סיגווקר          דותן</t>
  </si>
  <si>
    <t>החידה 107/48</t>
  </si>
  <si>
    <t>052-2957340</t>
  </si>
  <si>
    <t>053-3008751</t>
  </si>
  <si>
    <t>054-9313023</t>
  </si>
  <si>
    <t>מלכה            ירין</t>
  </si>
  <si>
    <t>מסקין אהרון 63/3</t>
  </si>
  <si>
    <t>054-6720057</t>
  </si>
  <si>
    <t>הוסטל בית נתן</t>
  </si>
  <si>
    <t>050-6725775</t>
  </si>
  <si>
    <t>052-6988081</t>
  </si>
  <si>
    <t>יפית</t>
  </si>
  <si>
    <t>עו"ס שגיא 054-5159126</t>
  </si>
  <si>
    <t>ינריץ'          ונינה מרסלה</t>
  </si>
  <si>
    <t>דרך השימשון 16/4</t>
  </si>
  <si>
    <t>050-7135705</t>
  </si>
  <si>
    <t>אנה "שבילים" - 054-7727009</t>
  </si>
  <si>
    <t>הוסטל נגבה</t>
  </si>
  <si>
    <t>שירן</t>
  </si>
  <si>
    <t>052-6539202</t>
  </si>
  <si>
    <t>אבקסיס      אילן</t>
  </si>
  <si>
    <t>קלצ'יקין רפאל</t>
  </si>
  <si>
    <t>053-5325906</t>
  </si>
  <si>
    <t>דורית</t>
  </si>
  <si>
    <t>050-4479657</t>
  </si>
  <si>
    <t>054-9297640</t>
  </si>
  <si>
    <t xml:space="preserve">;                                                                                                                                                            </t>
  </si>
  <si>
    <t>מנהלת הוסטל</t>
  </si>
  <si>
    <t>נתנאל</t>
  </si>
  <si>
    <t>אמא\ אחות</t>
  </si>
  <si>
    <t>ברוניה\ אתי</t>
  </si>
  <si>
    <t xml:space="preserve">אנה </t>
  </si>
  <si>
    <t>אשר\ שמואל</t>
  </si>
  <si>
    <t>0547169367\052-3936168</t>
  </si>
  <si>
    <t xml:space="preserve"> 0546618613\ 055-6602406</t>
  </si>
  <si>
    <t xml:space="preserve"> איגור</t>
  </si>
  <si>
    <t>054-6848241</t>
  </si>
  <si>
    <t>052-8990511</t>
  </si>
  <si>
    <t>054-7727009</t>
  </si>
  <si>
    <t>054-8338177</t>
  </si>
  <si>
    <t>אורטל</t>
  </si>
  <si>
    <t>052-5699586</t>
  </si>
  <si>
    <t>יפעת\ אודליה</t>
  </si>
  <si>
    <t>0509892010\ 054-6951351</t>
  </si>
  <si>
    <t>נטשה</t>
  </si>
  <si>
    <t>052-3991588</t>
  </si>
  <si>
    <t>קארין</t>
  </si>
  <si>
    <t>050-6724303</t>
  </si>
  <si>
    <t>052-7422176</t>
  </si>
  <si>
    <t>ליז</t>
  </si>
  <si>
    <t>052-3776944</t>
  </si>
  <si>
    <t>שמואל</t>
  </si>
  <si>
    <t>חן</t>
  </si>
  <si>
    <t>054-2596066</t>
  </si>
  <si>
    <t>ליאורה</t>
  </si>
  <si>
    <t>עדן\ אוולין</t>
  </si>
  <si>
    <t>בת \אחות</t>
  </si>
  <si>
    <t xml:space="preserve"> 0548134939\053-5330117</t>
  </si>
  <si>
    <t>חנן</t>
  </si>
  <si>
    <t>סיגל\ חנה</t>
  </si>
  <si>
    <t>שגיא</t>
  </si>
  <si>
    <t xml:space="preserve"> 0525679904\050-4240066</t>
  </si>
  <si>
    <t>052-4739164</t>
  </si>
  <si>
    <t>אלי\ ענת</t>
  </si>
  <si>
    <t>דוד\ דודה</t>
  </si>
  <si>
    <t>0525993139\052-2912128</t>
  </si>
  <si>
    <t>יהודית</t>
  </si>
  <si>
    <t>שירה</t>
  </si>
  <si>
    <t>טניה</t>
  </si>
  <si>
    <t>054-2278299</t>
  </si>
  <si>
    <t>תהילה</t>
  </si>
  <si>
    <t>חברה</t>
  </si>
  <si>
    <t>אביבים</t>
  </si>
  <si>
    <t>תמר</t>
  </si>
  <si>
    <t>052-3772413</t>
  </si>
  <si>
    <t>מני</t>
  </si>
  <si>
    <t>050-8389944</t>
  </si>
  <si>
    <t>רחל\ שי</t>
  </si>
  <si>
    <t>אמא\ אח</t>
  </si>
  <si>
    <t>קטי</t>
  </si>
  <si>
    <t>אנטולי\ יורי</t>
  </si>
  <si>
    <t>אח\ מדריך</t>
  </si>
  <si>
    <t>0549299453\052-2916211</t>
  </si>
  <si>
    <t>רון</t>
  </si>
  <si>
    <t>054-3207971</t>
  </si>
  <si>
    <t>אולגה\ אייל</t>
  </si>
  <si>
    <t>אישתו\ מדריך</t>
  </si>
  <si>
    <t xml:space="preserve"> 0545575188\ 054-5952147</t>
  </si>
  <si>
    <t>אלכס \ יורי</t>
  </si>
  <si>
    <t>054-9247455</t>
  </si>
  <si>
    <t>הוסטל בית רותם</t>
  </si>
  <si>
    <t>050-2728356</t>
  </si>
  <si>
    <t>052-6412081</t>
  </si>
  <si>
    <t xml:space="preserve">לי </t>
  </si>
  <si>
    <t>050-6999863</t>
  </si>
  <si>
    <t>לי</t>
  </si>
  <si>
    <t>058-4585878</t>
  </si>
  <si>
    <t>מולה            ירח</t>
  </si>
  <si>
    <t>מבצע קילשון 15/23</t>
  </si>
  <si>
    <t>צליל</t>
  </si>
  <si>
    <t>054-8772889</t>
  </si>
  <si>
    <t>עמר             רחמים נתנאל</t>
  </si>
  <si>
    <t>053-7955591</t>
  </si>
  <si>
    <t>לין מנהלת הוסטל</t>
  </si>
  <si>
    <t>054-6748340</t>
  </si>
  <si>
    <t>טדסה</t>
  </si>
  <si>
    <t xml:space="preserve"> ידיד נפש -ימית מנהלת  054-4754738</t>
  </si>
  <si>
    <t>אשטמקר   אליס אשר</t>
  </si>
  <si>
    <t>אלזר בן יאיר 14/4</t>
  </si>
  <si>
    <t>054-8023858</t>
  </si>
  <si>
    <t>אביאל</t>
  </si>
  <si>
    <t>058-7819900</t>
  </si>
  <si>
    <t>054-8063789</t>
  </si>
  <si>
    <t>ריטה</t>
  </si>
  <si>
    <t>08-9961852</t>
  </si>
  <si>
    <t>052-2920054</t>
  </si>
  <si>
    <t>שחר</t>
  </si>
  <si>
    <t>050-9345200</t>
  </si>
  <si>
    <t>ליס</t>
  </si>
  <si>
    <t>054-9297638</t>
  </si>
  <si>
    <t>054-6403108</t>
  </si>
  <si>
    <t>חיים/ ישראל אח</t>
  </si>
  <si>
    <t>0548170024/054-6542096</t>
  </si>
  <si>
    <t>סאם</t>
  </si>
  <si>
    <t>יוגב</t>
  </si>
  <si>
    <t>053-3240046</t>
  </si>
  <si>
    <t>גבי</t>
  </si>
  <si>
    <t>שוסטק        אלון</t>
  </si>
  <si>
    <t>050-3042113</t>
  </si>
  <si>
    <t>איגור</t>
  </si>
  <si>
    <t>הוסטל "בית לאה"</t>
  </si>
  <si>
    <t>050-9121146</t>
  </si>
  <si>
    <t>050-2282519</t>
  </si>
  <si>
    <t>רחמים        שוהם</t>
  </si>
  <si>
    <t>החב 2 "הוסטל בית לאה"</t>
  </si>
  <si>
    <t>053-9987388</t>
  </si>
  <si>
    <t>050-2203935</t>
  </si>
  <si>
    <t>דוניה</t>
  </si>
  <si>
    <t>יעל</t>
  </si>
  <si>
    <t>054-9297628</t>
  </si>
  <si>
    <t>הרב  צבאן 26/18 , נתיבות</t>
  </si>
  <si>
    <t>053-3718757</t>
  </si>
  <si>
    <t>08-6401647</t>
  </si>
  <si>
    <t>051-5696852</t>
  </si>
  <si>
    <t>052-4640020</t>
  </si>
  <si>
    <t>מצגר            רביד</t>
  </si>
  <si>
    <t>רוזנבלט         אלכסנדר</t>
  </si>
  <si>
    <t>ענבר</t>
  </si>
  <si>
    <t>נועה</t>
  </si>
  <si>
    <t>055-6610405</t>
  </si>
  <si>
    <t>0549299453\ 050-4539147</t>
  </si>
  <si>
    <t>052-9551634</t>
  </si>
  <si>
    <t>סמרה           מנשה</t>
  </si>
  <si>
    <t>050-9935599</t>
  </si>
  <si>
    <t>הוסטל בית מרחבים</t>
  </si>
  <si>
    <t xml:space="preserve"> הוסטל בית מרחבים</t>
  </si>
  <si>
    <t>054-3913211</t>
  </si>
  <si>
    <t>יובל</t>
  </si>
  <si>
    <t>מירב</t>
  </si>
  <si>
    <t>050-8433300</t>
  </si>
  <si>
    <t>מס'</t>
  </si>
  <si>
    <t>מנדלי מוכר ספרים 7/3</t>
  </si>
  <si>
    <t>בית רותם</t>
  </si>
  <si>
    <t xml:space="preserve">גיגי                 ברוך  </t>
  </si>
  <si>
    <t>050-2059280</t>
  </si>
  <si>
    <t>053-3382808</t>
  </si>
  <si>
    <r>
      <t xml:space="preserve">תימנה 9  - </t>
    </r>
    <r>
      <rPr>
        <b/>
        <sz val="12"/>
        <color theme="7" tint="-0.499984740745262"/>
        <rFont val="Calibri"/>
        <family val="2"/>
      </rPr>
      <t>הוסטל בית מאיר</t>
    </r>
  </si>
  <si>
    <t>טל</t>
  </si>
  <si>
    <t>פרדו             גנת</t>
  </si>
  <si>
    <t>שאול נמלך 44/12</t>
  </si>
  <si>
    <t>054-3952335</t>
  </si>
  <si>
    <t>054-8899670</t>
  </si>
  <si>
    <t>מסלי           שירן</t>
  </si>
  <si>
    <t>ניב דוד 23/8</t>
  </si>
  <si>
    <t>050-8929482</t>
  </si>
  <si>
    <t>יוני</t>
  </si>
  <si>
    <t>054-7594793</t>
  </si>
  <si>
    <t>מבצה קילשון 14/14</t>
  </si>
  <si>
    <t>גיאנה</t>
  </si>
  <si>
    <t>054-6308408</t>
  </si>
  <si>
    <t>פז</t>
  </si>
  <si>
    <t>050-6561790</t>
  </si>
  <si>
    <t>נטליה</t>
  </si>
  <si>
    <t>054-2428751</t>
  </si>
  <si>
    <t>גרינברג          ליאונרדו</t>
  </si>
  <si>
    <t>מבצע יואב 113/45</t>
  </si>
  <si>
    <t>054-7958347</t>
  </si>
  <si>
    <t>דניאל</t>
  </si>
  <si>
    <t>050-6395847</t>
  </si>
  <si>
    <t>08-6205178</t>
  </si>
  <si>
    <t>054-8267916</t>
  </si>
  <si>
    <t>קלורפלד      יוסף רומן</t>
  </si>
  <si>
    <t>050-6375871</t>
  </si>
  <si>
    <t>052-5850159</t>
  </si>
  <si>
    <t>פורמן           ליאת</t>
  </si>
  <si>
    <t>בית שאן 62</t>
  </si>
  <si>
    <t>054-4741606</t>
  </si>
  <si>
    <t>054-4880005</t>
  </si>
  <si>
    <t>אוקנין         ישראל קובי</t>
  </si>
  <si>
    <t>השבטים 24/1</t>
  </si>
  <si>
    <t>058-7457719</t>
  </si>
  <si>
    <t>08-6279892</t>
  </si>
  <si>
    <t>זגורי            יוסי זוי אלון</t>
  </si>
  <si>
    <t>נעומי</t>
  </si>
  <si>
    <t>ממ"ד</t>
  </si>
  <si>
    <t>מקלט</t>
  </si>
  <si>
    <t>X</t>
  </si>
  <si>
    <t>סמטננקו      דמיטרי</t>
  </si>
  <si>
    <t>סניף</t>
  </si>
  <si>
    <t>מס' טלפון</t>
  </si>
  <si>
    <t>מגדל 7 , אירה</t>
  </si>
  <si>
    <t>מצדה</t>
  </si>
  <si>
    <t>08-6475222</t>
  </si>
  <si>
    <t>יעקוב כהן, נטלי</t>
  </si>
  <si>
    <t>רהט</t>
  </si>
  <si>
    <t>08-9910177</t>
  </si>
  <si>
    <t>מצדה, מיכאל</t>
  </si>
  <si>
    <t>שאול המלך</t>
  </si>
  <si>
    <t>08-6475555</t>
  </si>
  <si>
    <t>ביאליק 51, אינה</t>
  </si>
  <si>
    <t xml:space="preserve"> 08-6235337</t>
  </si>
  <si>
    <t>08-9112222</t>
  </si>
  <si>
    <t>שחונה "ח" , ילנה</t>
  </si>
  <si>
    <t>08-6407777</t>
  </si>
  <si>
    <t>מצדה, נורית</t>
  </si>
  <si>
    <t>נווה זהוב 14, אלינה</t>
  </si>
  <si>
    <t>ביעליק</t>
  </si>
  <si>
    <t>רגר 51, אינה</t>
  </si>
  <si>
    <t>08-6235337</t>
  </si>
  <si>
    <t>שאול המלך, רינה</t>
  </si>
  <si>
    <t>מצדה,איגור</t>
  </si>
  <si>
    <t>מרכז הורן , אינה</t>
  </si>
  <si>
    <t>08-6241222</t>
  </si>
  <si>
    <t>שאול המלך , גבריאל</t>
  </si>
  <si>
    <t xml:space="preserve">בן יאיר , סרגי </t>
  </si>
  <si>
    <t>08-9110222</t>
  </si>
  <si>
    <t>*3555</t>
  </si>
  <si>
    <t xml:space="preserve">קרית הממשלה, אילושין </t>
  </si>
  <si>
    <t>שאול המלך , וינר</t>
  </si>
  <si>
    <t>08-6280460</t>
  </si>
  <si>
    <t>08-6413036</t>
  </si>
  <si>
    <t>08-6476222</t>
  </si>
  <si>
    <t>מצדה, איגור</t>
  </si>
  <si>
    <t>דוד המלך,נתאנל</t>
  </si>
  <si>
    <t>בן יאיר , איליה</t>
  </si>
  <si>
    <t>יצחק רגר,אילושים</t>
  </si>
  <si>
    <t>קופל חולים ג, אברהם</t>
  </si>
  <si>
    <t>08-6292888</t>
  </si>
  <si>
    <t>נאות אילן, יבגני</t>
  </si>
  <si>
    <t>08-6113830</t>
  </si>
  <si>
    <t>מצדה, רונית</t>
  </si>
  <si>
    <t>נווה נוי, אולגה</t>
  </si>
  <si>
    <t>08-6269222</t>
  </si>
  <si>
    <t>העליה,פטרובקי</t>
  </si>
  <si>
    <t>וינגיט, גלינה</t>
  </si>
  <si>
    <t>08-6207222</t>
  </si>
  <si>
    <t>קרית הממשלה, אלכסנדרה</t>
  </si>
  <si>
    <t>08-6267222</t>
  </si>
  <si>
    <t>08-6258760</t>
  </si>
  <si>
    <t>בן יאיר , ולנטינה</t>
  </si>
  <si>
    <t>נווה זהב 14, כריסטינה</t>
  </si>
  <si>
    <t>08-9113222</t>
  </si>
  <si>
    <t>שחונה"ט", טטיאנה</t>
  </si>
  <si>
    <t>שחונה"ט", ולנטינה</t>
  </si>
  <si>
    <t>מצדה, סבטלנה</t>
  </si>
  <si>
    <t>ק"ח "ב" אופקיםף וורה</t>
  </si>
  <si>
    <t>08-9927700</t>
  </si>
  <si>
    <t>מצדה, אנטולי</t>
  </si>
  <si>
    <t>שתל , מרגולים</t>
  </si>
  <si>
    <t>08-6254222</t>
  </si>
  <si>
    <t>מצדה, מיכל</t>
  </si>
  <si>
    <t>רגר , אירינה</t>
  </si>
  <si>
    <t>072-3227916</t>
  </si>
  <si>
    <t>נווה זהב 14, רומן</t>
  </si>
  <si>
    <t>אשלהה, יוליה</t>
  </si>
  <si>
    <t>חנה רובינה 22, ולדלן</t>
  </si>
  <si>
    <t>08-6106575</t>
  </si>
  <si>
    <t>נווה זהב, אלכס</t>
  </si>
  <si>
    <t>08-6199544</t>
  </si>
  <si>
    <t>08-6417622</t>
  </si>
  <si>
    <t>יצחק רגר, אירינה</t>
  </si>
  <si>
    <t>חוה6, מרינה</t>
  </si>
  <si>
    <t>08-6268222</t>
  </si>
  <si>
    <t>שחונה "ט", ססון</t>
  </si>
  <si>
    <t>שחונה "ט", ולנתינה</t>
  </si>
  <si>
    <t>שרירא גאון 18</t>
  </si>
  <si>
    <t>054-9724939</t>
  </si>
  <si>
    <t>052-3928673</t>
  </si>
  <si>
    <t>08-3122232</t>
  </si>
  <si>
    <t xml:space="preserve">נווה זהב </t>
  </si>
  <si>
    <t>קרית ממשלה, אירינה</t>
  </si>
  <si>
    <t>"ד" , ראיה</t>
  </si>
  <si>
    <t>שחונה "ט" ,אלכס</t>
  </si>
  <si>
    <t>שחונה "ט" דר' ששון</t>
  </si>
  <si>
    <t>08-6201222</t>
  </si>
  <si>
    <t>מגדל 7 ,אירינה</t>
  </si>
  <si>
    <t>08-6286460</t>
  </si>
  <si>
    <t>רמות, מיכל ווקסמן</t>
  </si>
  <si>
    <t>08-6240222</t>
  </si>
  <si>
    <t>יא, פרקובסקי אינגה</t>
  </si>
  <si>
    <t>08-6102757</t>
  </si>
  <si>
    <t>קניון שאול המלך, גרידר</t>
  </si>
  <si>
    <t>08-6441707</t>
  </si>
  <si>
    <t>נווה זהב, ברוך</t>
  </si>
  <si>
    <t>אשקלון, ברנה אפרידר, מחמד</t>
  </si>
  <si>
    <t>08-6747102</t>
  </si>
  <si>
    <t>יסקי, סלאם</t>
  </si>
  <si>
    <t>יסקי, סאלם</t>
  </si>
  <si>
    <t>יסקי, בלה</t>
  </si>
  <si>
    <t>יא, הרצג 2, יורי</t>
  </si>
  <si>
    <t>יסקי, ד״ר עבד אל גני סלאם</t>
  </si>
  <si>
    <t>‭08-6407777</t>
  </si>
  <si>
    <t>סמים</t>
  </si>
  <si>
    <t>קניון שאול המלך,מקסים</t>
  </si>
  <si>
    <t>עברהם עבינו 62/2</t>
  </si>
  <si>
    <t>שירות יחיד</t>
  </si>
  <si>
    <t>שתל, סמילנסקי 79, צילה</t>
  </si>
  <si>
    <t>דיור קבוצתי</t>
  </si>
  <si>
    <t xml:space="preserve">דני </t>
  </si>
  <si>
    <t>050-4091044</t>
  </si>
  <si>
    <t>053-7447722</t>
  </si>
  <si>
    <t>054-9953434 \ 08-6230285</t>
  </si>
  <si>
    <t>מרפאת מבוגרים,אורי לבנטל</t>
  </si>
  <si>
    <t>08-6401102</t>
  </si>
  <si>
    <t>אנה גלנת</t>
  </si>
  <si>
    <t>054-5202576</t>
  </si>
  <si>
    <t>כן</t>
  </si>
  <si>
    <t>יסקי, אירינה</t>
  </si>
  <si>
    <t>קרית ממשלה, מרינה רסקין</t>
  </si>
  <si>
    <t>08-6288892</t>
  </si>
  <si>
    <t>זריאנה</t>
  </si>
  <si>
    <t>052-5280353</t>
  </si>
  <si>
    <t>יואנה זיבותינסקי, ברוך מנדלסביך</t>
  </si>
  <si>
    <t>08-6416622</t>
  </si>
  <si>
    <t>054-5256719</t>
  </si>
  <si>
    <t>דלקת כבד, פרוסטטה,פרקינסון</t>
  </si>
  <si>
    <t>יצחק רגר 11 ,אילושינה</t>
  </si>
  <si>
    <t xml:space="preserve">מצדה, </t>
  </si>
  <si>
    <t>יא, אלון</t>
  </si>
  <si>
    <t>קירית ממשלה , מרינה רסקין</t>
  </si>
  <si>
    <t>מכבי אסיה, פורזי</t>
  </si>
  <si>
    <t>יצחק רגר 11 ,אירינה אילושינה</t>
  </si>
  <si>
    <t>052-5164684</t>
  </si>
  <si>
    <t>052-5462121</t>
  </si>
  <si>
    <t>פולי</t>
  </si>
  <si>
    <t>055-3030682</t>
  </si>
  <si>
    <t>מרפה לבריאות הנפש</t>
  </si>
  <si>
    <t>08-6400351</t>
  </si>
  <si>
    <t>08-6401502</t>
  </si>
  <si>
    <t>מרפה מבוגרים, איתי בסר</t>
  </si>
  <si>
    <t>ריקי כהן - רווחה</t>
  </si>
  <si>
    <t>08-9944924-5</t>
  </si>
  <si>
    <t>נתיבות,"אסיא" קניון לביא</t>
  </si>
  <si>
    <t>ענת</t>
  </si>
  <si>
    <t>נקין               בוריס</t>
  </si>
  <si>
    <t>הצבי 105/24</t>
  </si>
  <si>
    <t>בן חמו           ספי</t>
  </si>
  <si>
    <t>052-4546215</t>
  </si>
  <si>
    <t xml:space="preserve">דיור </t>
  </si>
  <si>
    <t>יצחק</t>
  </si>
  <si>
    <t>050-7958545</t>
  </si>
  <si>
    <t>קצנוביץ          רון</t>
  </si>
  <si>
    <t>054-5407374</t>
  </si>
  <si>
    <t>מילה</t>
  </si>
  <si>
    <t>054-4809246</t>
  </si>
  <si>
    <t>דימונה א</t>
  </si>
  <si>
    <t>08-6820210</t>
  </si>
  <si>
    <t>שחונה"ט", אולגה</t>
  </si>
  <si>
    <t>050-5900899</t>
  </si>
  <si>
    <t>050-2001299</t>
  </si>
  <si>
    <t>מאיה</t>
  </si>
  <si>
    <t>אלכסנדר</t>
  </si>
  <si>
    <t>054-2009979</t>
  </si>
  <si>
    <t>שירה רובינסון</t>
  </si>
  <si>
    <t>דיאנה</t>
  </si>
  <si>
    <t>054-9297757</t>
  </si>
  <si>
    <t>אסטלה (מנהלת)</t>
  </si>
  <si>
    <t>פז (מנהלת)</t>
  </si>
  <si>
    <t>050-9467786</t>
  </si>
  <si>
    <t>054-9299453</t>
  </si>
  <si>
    <t>יורי (מדריך)</t>
  </si>
  <si>
    <t>תאריך קליטה</t>
  </si>
  <si>
    <t>תאריך כתיבה תוכנית שיקום</t>
  </si>
  <si>
    <t xml:space="preserve">חיים </t>
  </si>
  <si>
    <t>תהל גל קרמני</t>
  </si>
  <si>
    <t>ליהי</t>
  </si>
  <si>
    <t xml:space="preserve">אורית </t>
  </si>
  <si>
    <t>אימבר</t>
  </si>
  <si>
    <t>052-6076190</t>
  </si>
  <si>
    <t>מורן</t>
  </si>
  <si>
    <t>050-8580072</t>
  </si>
  <si>
    <t>ענת (קופ"ח)</t>
  </si>
  <si>
    <t>050-9955602</t>
  </si>
  <si>
    <t>אליסון</t>
  </si>
  <si>
    <t>054-9297570</t>
  </si>
  <si>
    <t>ינאי</t>
  </si>
  <si>
    <t>052-8214232</t>
  </si>
  <si>
    <t>סנד</t>
  </si>
  <si>
    <t>052-6433224</t>
  </si>
  <si>
    <t>מרים תזזו</t>
  </si>
  <si>
    <t>054-5474358</t>
  </si>
  <si>
    <t>050-4940511</t>
  </si>
  <si>
    <t>ליאור</t>
  </si>
  <si>
    <t>054-3006402</t>
  </si>
  <si>
    <t>ענבל</t>
  </si>
  <si>
    <t>054-8119440</t>
  </si>
  <si>
    <t>אולגה</t>
  </si>
  <si>
    <t>איזבלם</t>
  </si>
  <si>
    <t>ווינגית 63, גלין נטליה</t>
  </si>
  <si>
    <t>08-6261555</t>
  </si>
  <si>
    <t>מבצע יואב 16/31</t>
  </si>
  <si>
    <t>תאריך סיום</t>
  </si>
  <si>
    <t>שלזינגר זינגר   יבגני  לוקה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</si>
</sst>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yyyy"/>
    <numFmt numFmtId="166" formatCode="000\-0000000"/>
    <numFmt numFmtId="167" formatCode="00000000000"/>
    <numFmt numFmtId="168" formatCode="0000000000"/>
    <numFmt numFmtId="169" formatCode="000000000"/>
    <numFmt numFmtId="170" formatCode="mmm/yyyy"/>
    <numFmt numFmtId="171" formatCode="mmm\ yyyy"/>
  </numFmts>
  <fonts count="32">
    <font>
      <sz val="11"/>
      <color theme="1"/>
      <name val="Arial"/>
      <family val="2"/>
      <scheme val="minor"/>
    </font>
    <font>
      <sz val="10"/>
      <color theme="1"/>
      <name val="Calibri"/>
      <family val="2"/>
    </font>
    <font>
      <sz val="11"/>
      <name val="Arial"/>
      <family val="2"/>
    </font>
    <font>
      <sz val="11"/>
      <name val="Arial"/>
      <family val="2"/>
      <scheme val="minor"/>
    </font>
    <font>
      <sz val="16"/>
      <name val="Arial"/>
      <family val="2"/>
    </font>
    <font>
      <sz val="11"/>
      <name val="Arial (Hebrew)"/>
    </font>
    <font>
      <sz val="8"/>
      <name val="Arial"/>
      <family val="2"/>
      <scheme val="minor"/>
    </font>
    <font>
      <b/>
      <sz val="14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rgb="FF0070C0"/>
      <name val="Calibri"/>
      <family val="2"/>
    </font>
    <font>
      <b/>
      <sz val="12"/>
      <color rgb="FFC00000"/>
      <name val="Calibri"/>
      <family val="2"/>
    </font>
    <font>
      <b/>
      <sz val="12"/>
      <color theme="0"/>
      <name val="Calibri"/>
      <family val="2"/>
    </font>
    <font>
      <b/>
      <sz val="12"/>
      <color rgb="FF00B050"/>
      <name val="Calibri"/>
      <family val="2"/>
    </font>
    <font>
      <sz val="11"/>
      <name val="Arial (Hebrew)"/>
      <family val="2"/>
      <charset val="177"/>
    </font>
    <font>
      <b/>
      <sz val="12"/>
      <name val="Calibri"/>
      <family val="2"/>
    </font>
    <font>
      <sz val="11"/>
      <color rgb="FF9C5700"/>
      <name val="Arial"/>
      <family val="2"/>
      <charset val="177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7" tint="-0.499984740745262"/>
      <name val="Calibri"/>
      <family val="2"/>
    </font>
    <font>
      <sz val="14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4"/>
      <color rgb="FF9C5700"/>
      <name val="Calibri"/>
      <family val="2"/>
    </font>
    <font>
      <sz val="12"/>
      <name val="Calibri"/>
      <family val="2"/>
      <charset val="177"/>
    </font>
    <font>
      <sz val="12"/>
      <name val="Arial"/>
      <family val="2"/>
      <charset val="177"/>
    </font>
    <font>
      <sz val="12"/>
      <color theme="1"/>
      <name val="Arial"/>
      <family val="2"/>
      <scheme val="minor"/>
    </font>
    <font>
      <sz val="12"/>
      <name val="Arial (Hebrew)"/>
      <family val="2"/>
      <charset val="177"/>
    </font>
    <font>
      <sz val="12"/>
      <color rgb="FF9C5700"/>
      <name val="Calibri"/>
      <family val="2"/>
    </font>
    <font>
      <sz val="12"/>
      <name val="Arial (Hebrew)"/>
    </font>
    <font>
      <sz val="12"/>
      <name val="Arial"/>
      <family val="2"/>
    </font>
    <font>
      <sz val="12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16" fillId="11" borderId="0" applyNumberFormat="0" applyBorder="0" applyAlignment="0" applyProtection="0"/>
  </cellStyleXfs>
  <cellXfs count="221">
    <xf numFmtId="0" fontId="0" fillId="0" borderId="0" xfId="0"/>
    <xf numFmtId="164" fontId="0" fillId="3" borderId="0" xfId="0" applyNumberFormat="1" applyFill="1" applyAlignment="1">
      <alignment horizontal="center" vertical="center"/>
    </xf>
    <xf numFmtId="0" fontId="4" fillId="0" borderId="0" xfId="0" applyFont="1" applyProtection="1">
      <protection locked="0"/>
    </xf>
    <xf numFmtId="164" fontId="2" fillId="3" borderId="0" xfId="0" applyNumberFormat="1" applyFont="1" applyFill="1" applyAlignment="1">
      <alignment horizontal="center" vertical="center"/>
    </xf>
    <xf numFmtId="0" fontId="0" fillId="0" borderId="0" xfId="0" applyProtection="1">
      <protection locked="0"/>
    </xf>
    <xf numFmtId="1" fontId="2" fillId="3" borderId="0" xfId="0" applyNumberFormat="1" applyFon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horizontal="right" vertical="center"/>
    </xf>
    <xf numFmtId="1" fontId="0" fillId="3" borderId="0" xfId="0" applyNumberFormat="1" applyFill="1" applyAlignment="1">
      <alignment horizontal="right" vertical="center" indent="1"/>
    </xf>
    <xf numFmtId="164" fontId="0" fillId="3" borderId="0" xfId="0" applyNumberFormat="1" applyFill="1" applyAlignment="1">
      <alignment horizontal="right" vertical="center" indent="1"/>
    </xf>
    <xf numFmtId="164" fontId="9" fillId="3" borderId="0" xfId="0" applyNumberFormat="1" applyFont="1" applyFill="1" applyAlignment="1">
      <alignment horizontal="center" vertical="center"/>
    </xf>
    <xf numFmtId="1" fontId="8" fillId="4" borderId="0" xfId="0" applyNumberFormat="1" applyFont="1" applyFill="1" applyAlignment="1">
      <alignment horizontal="center" vertical="center"/>
    </xf>
    <xf numFmtId="2" fontId="5" fillId="4" borderId="0" xfId="0" applyNumberFormat="1" applyFont="1" applyFill="1" applyAlignment="1">
      <alignment horizontal="right" vertical="center" readingOrder="2"/>
    </xf>
    <xf numFmtId="1" fontId="5" fillId="4" borderId="0" xfId="0" applyNumberFormat="1" applyFont="1" applyFill="1" applyAlignment="1">
      <alignment horizontal="right" vertical="center" readingOrder="2"/>
    </xf>
    <xf numFmtId="1" fontId="5" fillId="3" borderId="0" xfId="0" applyNumberFormat="1" applyFont="1" applyFill="1" applyAlignment="1">
      <alignment horizontal="center" vertical="center" readingOrder="2"/>
    </xf>
    <xf numFmtId="1" fontId="5" fillId="3" borderId="0" xfId="0" applyNumberFormat="1" applyFont="1" applyFill="1" applyAlignment="1">
      <alignment horizontal="right" vertical="center" indent="2" readingOrder="2"/>
    </xf>
    <xf numFmtId="1" fontId="5" fillId="4" borderId="0" xfId="0" applyNumberFormat="1" applyFont="1" applyFill="1" applyAlignment="1">
      <alignment horizontal="center" vertical="center" readingOrder="2"/>
    </xf>
    <xf numFmtId="164" fontId="3" fillId="3" borderId="0" xfId="0" applyNumberFormat="1" applyFont="1" applyFill="1" applyAlignment="1">
      <alignment horizontal="right" vertical="center" indent="2"/>
    </xf>
    <xf numFmtId="14" fontId="2" fillId="4" borderId="0" xfId="0" applyNumberFormat="1" applyFont="1" applyFill="1" applyAlignment="1">
      <alignment horizontal="right" vertical="center"/>
    </xf>
    <xf numFmtId="1" fontId="2" fillId="4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164" fontId="7" fillId="2" borderId="1" xfId="0" applyNumberFormat="1" applyFont="1" applyFill="1" applyBorder="1" applyAlignment="1">
      <alignment horizontal="center" vertical="center" wrapText="1"/>
    </xf>
    <xf numFmtId="164" fontId="7" fillId="2" borderId="2" xfId="0" applyNumberFormat="1" applyFont="1" applyFill="1" applyBorder="1" applyAlignment="1">
      <alignment horizontal="center" vertical="center" wrapText="1"/>
    </xf>
    <xf numFmtId="1" fontId="7" fillId="2" borderId="2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165" fontId="7" fillId="2" borderId="2" xfId="0" applyNumberFormat="1" applyFont="1" applyFill="1" applyBorder="1" applyAlignment="1">
      <alignment horizontal="center" vertical="center" wrapText="1"/>
    </xf>
    <xf numFmtId="1" fontId="8" fillId="4" borderId="4" xfId="0" applyNumberFormat="1" applyFont="1" applyFill="1" applyBorder="1" applyAlignment="1">
      <alignment horizontal="center" vertical="center"/>
    </xf>
    <xf numFmtId="2" fontId="9" fillId="4" borderId="5" xfId="0" applyNumberFormat="1" applyFont="1" applyFill="1" applyBorder="1" applyAlignment="1">
      <alignment horizontal="right" vertical="center" readingOrder="2"/>
    </xf>
    <xf numFmtId="2" fontId="9" fillId="0" borderId="5" xfId="0" applyNumberFormat="1" applyFont="1" applyBorder="1" applyAlignment="1">
      <alignment horizontal="right" vertical="center" readingOrder="2"/>
    </xf>
    <xf numFmtId="164" fontId="9" fillId="3" borderId="5" xfId="0" applyNumberFormat="1" applyFont="1" applyFill="1" applyBorder="1" applyAlignment="1">
      <alignment horizontal="center" vertical="center"/>
    </xf>
    <xf numFmtId="1" fontId="9" fillId="0" borderId="5" xfId="0" applyNumberFormat="1" applyFont="1" applyBorder="1" applyAlignment="1">
      <alignment horizontal="center" vertical="center" readingOrder="2"/>
    </xf>
    <xf numFmtId="1" fontId="9" fillId="0" borderId="5" xfId="0" applyNumberFormat="1" applyFont="1" applyBorder="1" applyAlignment="1">
      <alignment horizontal="right" vertical="center" indent="1" readingOrder="2"/>
    </xf>
    <xf numFmtId="164" fontId="10" fillId="5" borderId="5" xfId="0" applyNumberFormat="1" applyFont="1" applyFill="1" applyBorder="1" applyAlignment="1">
      <alignment horizontal="right" vertical="center" indent="1"/>
    </xf>
    <xf numFmtId="164" fontId="9" fillId="3" borderId="5" xfId="0" applyNumberFormat="1" applyFont="1" applyFill="1" applyBorder="1" applyAlignment="1">
      <alignment horizontal="right" vertical="center"/>
    </xf>
    <xf numFmtId="14" fontId="9" fillId="4" borderId="5" xfId="0" applyNumberFormat="1" applyFont="1" applyFill="1" applyBorder="1" applyAlignment="1">
      <alignment horizontal="right" vertical="center"/>
    </xf>
    <xf numFmtId="1" fontId="9" fillId="4" borderId="5" xfId="0" applyNumberFormat="1" applyFont="1" applyFill="1" applyBorder="1" applyAlignment="1">
      <alignment horizontal="center" vertical="center"/>
    </xf>
    <xf numFmtId="164" fontId="9" fillId="3" borderId="6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horizontal="right" vertical="center" indent="1"/>
    </xf>
    <xf numFmtId="164" fontId="2" fillId="3" borderId="5" xfId="0" applyNumberFormat="1" applyFont="1" applyFill="1" applyBorder="1" applyAlignment="1">
      <alignment horizontal="center" vertical="center"/>
    </xf>
    <xf numFmtId="1" fontId="9" fillId="4" borderId="5" xfId="0" applyNumberFormat="1" applyFont="1" applyFill="1" applyBorder="1" applyAlignment="1">
      <alignment horizontal="center" vertical="center" readingOrder="2"/>
    </xf>
    <xf numFmtId="1" fontId="2" fillId="4" borderId="5" xfId="0" applyNumberFormat="1" applyFont="1" applyFill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right" vertical="center"/>
    </xf>
    <xf numFmtId="1" fontId="8" fillId="4" borderId="5" xfId="0" applyNumberFormat="1" applyFont="1" applyFill="1" applyBorder="1" applyAlignment="1">
      <alignment horizontal="center" vertical="center"/>
    </xf>
    <xf numFmtId="1" fontId="9" fillId="3" borderId="5" xfId="0" applyNumberFormat="1" applyFont="1" applyFill="1" applyBorder="1" applyAlignment="1">
      <alignment horizontal="right" vertical="center" indent="1" readingOrder="2"/>
    </xf>
    <xf numFmtId="164" fontId="9" fillId="4" borderId="5" xfId="0" applyNumberFormat="1" applyFont="1" applyFill="1" applyBorder="1" applyAlignment="1">
      <alignment horizontal="center" vertical="center"/>
    </xf>
    <xf numFmtId="14" fontId="2" fillId="4" borderId="5" xfId="0" applyNumberFormat="1" applyFont="1" applyFill="1" applyBorder="1" applyAlignment="1">
      <alignment horizontal="right" vertical="center"/>
    </xf>
    <xf numFmtId="1" fontId="5" fillId="3" borderId="5" xfId="0" applyNumberFormat="1" applyFont="1" applyFill="1" applyBorder="1" applyAlignment="1">
      <alignment horizontal="center" vertical="center" readingOrder="2"/>
    </xf>
    <xf numFmtId="1" fontId="5" fillId="3" borderId="5" xfId="0" applyNumberFormat="1" applyFont="1" applyFill="1" applyBorder="1" applyAlignment="1">
      <alignment horizontal="right" vertical="center" indent="2" readingOrder="2"/>
    </xf>
    <xf numFmtId="166" fontId="9" fillId="0" borderId="5" xfId="0" applyNumberFormat="1" applyFont="1" applyBorder="1" applyAlignment="1">
      <alignment horizontal="right" vertical="center"/>
    </xf>
    <xf numFmtId="1" fontId="9" fillId="3" borderId="5" xfId="0" applyNumberFormat="1" applyFont="1" applyFill="1" applyBorder="1" applyAlignment="1">
      <alignment horizontal="center" vertical="center" readingOrder="2"/>
    </xf>
    <xf numFmtId="164" fontId="15" fillId="12" borderId="5" xfId="0" applyNumberFormat="1" applyFont="1" applyFill="1" applyBorder="1" applyAlignment="1">
      <alignment horizontal="right" vertical="center" indent="1"/>
    </xf>
    <xf numFmtId="1" fontId="9" fillId="4" borderId="5" xfId="0" applyNumberFormat="1" applyFont="1" applyFill="1" applyBorder="1" applyAlignment="1">
      <alignment horizontal="right" vertical="center" indent="1" readingOrder="2"/>
    </xf>
    <xf numFmtId="164" fontId="9" fillId="4" borderId="5" xfId="0" applyNumberFormat="1" applyFont="1" applyFill="1" applyBorder="1" applyAlignment="1">
      <alignment horizontal="right" vertical="center"/>
    </xf>
    <xf numFmtId="164" fontId="9" fillId="4" borderId="6" xfId="0" applyNumberFormat="1" applyFont="1" applyFill="1" applyBorder="1" applyAlignment="1">
      <alignment horizontal="center" vertical="center"/>
    </xf>
    <xf numFmtId="164" fontId="13" fillId="8" borderId="5" xfId="0" applyNumberFormat="1" applyFont="1" applyFill="1" applyBorder="1" applyAlignment="1">
      <alignment horizontal="right" vertical="center" indent="1"/>
    </xf>
    <xf numFmtId="0" fontId="9" fillId="3" borderId="6" xfId="0" applyFont="1" applyFill="1" applyBorder="1" applyAlignment="1">
      <alignment horizontal="center" vertical="center"/>
    </xf>
    <xf numFmtId="2" fontId="9" fillId="4" borderId="5" xfId="0" applyNumberFormat="1" applyFont="1" applyFill="1" applyBorder="1" applyAlignment="1">
      <alignment vertical="center" readingOrder="2"/>
    </xf>
    <xf numFmtId="2" fontId="9" fillId="0" borderId="5" xfId="0" applyNumberFormat="1" applyFont="1" applyBorder="1" applyAlignment="1">
      <alignment vertical="center" readingOrder="2"/>
    </xf>
    <xf numFmtId="164" fontId="9" fillId="4" borderId="5" xfId="0" applyNumberFormat="1" applyFont="1" applyFill="1" applyBorder="1" applyAlignment="1">
      <alignment horizontal="right" vertical="center" indent="1"/>
    </xf>
    <xf numFmtId="164" fontId="9" fillId="4" borderId="5" xfId="0" applyNumberFormat="1" applyFont="1" applyFill="1" applyBorder="1" applyAlignment="1">
      <alignment vertical="center"/>
    </xf>
    <xf numFmtId="14" fontId="9" fillId="4" borderId="5" xfId="0" applyNumberFormat="1" applyFont="1" applyFill="1" applyBorder="1" applyAlignment="1">
      <alignment vertical="center"/>
    </xf>
    <xf numFmtId="0" fontId="8" fillId="0" borderId="5" xfId="0" applyFont="1" applyBorder="1" applyAlignment="1">
      <alignment horizontal="right" indent="1"/>
    </xf>
    <xf numFmtId="0" fontId="9" fillId="0" borderId="5" xfId="0" applyFont="1" applyBorder="1"/>
    <xf numFmtId="164" fontId="15" fillId="10" borderId="5" xfId="0" applyNumberFormat="1" applyFont="1" applyFill="1" applyBorder="1" applyAlignment="1">
      <alignment horizontal="right" vertical="center" indent="1"/>
    </xf>
    <xf numFmtId="2" fontId="12" fillId="7" borderId="5" xfId="0" applyNumberFormat="1" applyFont="1" applyFill="1" applyBorder="1" applyAlignment="1">
      <alignment horizontal="right" vertical="center" readingOrder="2"/>
    </xf>
    <xf numFmtId="167" fontId="9" fillId="3" borderId="5" xfId="0" applyNumberFormat="1" applyFont="1" applyFill="1" applyBorder="1" applyAlignment="1">
      <alignment horizontal="right" vertical="center"/>
    </xf>
    <xf numFmtId="164" fontId="9" fillId="0" borderId="5" xfId="0" applyNumberFormat="1" applyFont="1" applyBorder="1" applyAlignment="1">
      <alignment horizontal="center" vertical="center"/>
    </xf>
    <xf numFmtId="164" fontId="11" fillId="9" borderId="5" xfId="0" applyNumberFormat="1" applyFont="1" applyFill="1" applyBorder="1" applyAlignment="1">
      <alignment horizontal="right" vertical="center" indent="1"/>
    </xf>
    <xf numFmtId="14" fontId="9" fillId="0" borderId="5" xfId="0" applyNumberFormat="1" applyFont="1" applyBorder="1" applyAlignment="1">
      <alignment horizontal="right" vertical="center"/>
    </xf>
    <xf numFmtId="164" fontId="9" fillId="0" borderId="5" xfId="0" applyNumberFormat="1" applyFont="1" applyBorder="1" applyAlignment="1">
      <alignment horizontal="right" vertical="center"/>
    </xf>
    <xf numFmtId="168" fontId="9" fillId="3" borderId="5" xfId="0" applyNumberFormat="1" applyFont="1" applyFill="1" applyBorder="1" applyAlignment="1">
      <alignment horizontal="right" vertical="center"/>
    </xf>
    <xf numFmtId="168" fontId="9" fillId="3" borderId="5" xfId="0" applyNumberFormat="1" applyFont="1" applyFill="1" applyBorder="1" applyAlignment="1">
      <alignment horizontal="center" vertical="center"/>
    </xf>
    <xf numFmtId="1" fontId="8" fillId="4" borderId="7" xfId="0" applyNumberFormat="1" applyFont="1" applyFill="1" applyBorder="1" applyAlignment="1">
      <alignment horizontal="center" vertical="center"/>
    </xf>
    <xf numFmtId="1" fontId="8" fillId="4" borderId="8" xfId="0" applyNumberFormat="1" applyFont="1" applyFill="1" applyBorder="1" applyAlignment="1">
      <alignment horizontal="center" vertical="center"/>
    </xf>
    <xf numFmtId="2" fontId="5" fillId="4" borderId="8" xfId="0" applyNumberFormat="1" applyFont="1" applyFill="1" applyBorder="1" applyAlignment="1">
      <alignment horizontal="right" vertical="center" readingOrder="2"/>
    </xf>
    <xf numFmtId="1" fontId="5" fillId="4" borderId="8" xfId="0" applyNumberFormat="1" applyFont="1" applyFill="1" applyBorder="1" applyAlignment="1">
      <alignment horizontal="right" vertical="center" readingOrder="2"/>
    </xf>
    <xf numFmtId="164" fontId="9" fillId="3" borderId="8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 vertical="center" readingOrder="2"/>
    </xf>
    <xf numFmtId="1" fontId="5" fillId="3" borderId="8" xfId="0" applyNumberFormat="1" applyFont="1" applyFill="1" applyBorder="1" applyAlignment="1">
      <alignment horizontal="right" vertical="center" indent="2" readingOrder="2"/>
    </xf>
    <xf numFmtId="1" fontId="5" fillId="4" borderId="8" xfId="0" applyNumberFormat="1" applyFont="1" applyFill="1" applyBorder="1" applyAlignment="1">
      <alignment horizontal="center" vertical="center" readingOrder="2"/>
    </xf>
    <xf numFmtId="164" fontId="3" fillId="3" borderId="8" xfId="0" applyNumberFormat="1" applyFont="1" applyFill="1" applyBorder="1" applyAlignment="1">
      <alignment horizontal="right" vertical="center" indent="2"/>
    </xf>
    <xf numFmtId="164" fontId="2" fillId="3" borderId="8" xfId="0" applyNumberFormat="1" applyFont="1" applyFill="1" applyBorder="1" applyAlignment="1">
      <alignment horizontal="center" vertical="center"/>
    </xf>
    <xf numFmtId="14" fontId="2" fillId="4" borderId="8" xfId="0" applyNumberFormat="1" applyFont="1" applyFill="1" applyBorder="1" applyAlignment="1">
      <alignment horizontal="right" vertical="center"/>
    </xf>
    <xf numFmtId="164" fontId="3" fillId="3" borderId="8" xfId="0" applyNumberFormat="1" applyFont="1" applyFill="1" applyBorder="1" applyAlignment="1">
      <alignment horizontal="right" vertical="center"/>
    </xf>
    <xf numFmtId="164" fontId="9" fillId="3" borderId="9" xfId="0" applyNumberFormat="1" applyFont="1" applyFill="1" applyBorder="1" applyAlignment="1">
      <alignment horizontal="center" vertical="center"/>
    </xf>
    <xf numFmtId="164" fontId="11" fillId="3" borderId="5" xfId="0" applyNumberFormat="1" applyFont="1" applyFill="1" applyBorder="1" applyAlignment="1">
      <alignment horizontal="right" vertical="center" indent="1"/>
    </xf>
    <xf numFmtId="164" fontId="9" fillId="3" borderId="0" xfId="0" applyNumberFormat="1" applyFont="1" applyFill="1" applyAlignment="1">
      <alignment horizontal="right" vertical="center" indent="1"/>
    </xf>
    <xf numFmtId="1" fontId="5" fillId="3" borderId="5" xfId="0" applyNumberFormat="1" applyFont="1" applyFill="1" applyBorder="1" applyAlignment="1">
      <alignment horizontal="right" vertical="center" indent="1" readingOrder="2"/>
    </xf>
    <xf numFmtId="164" fontId="7" fillId="8" borderId="1" xfId="0" applyNumberFormat="1" applyFont="1" applyFill="1" applyBorder="1" applyAlignment="1">
      <alignment horizontal="center" vertical="center" wrapText="1"/>
    </xf>
    <xf numFmtId="164" fontId="7" fillId="8" borderId="2" xfId="0" applyNumberFormat="1" applyFont="1" applyFill="1" applyBorder="1" applyAlignment="1">
      <alignment horizontal="center" vertical="center" wrapText="1"/>
    </xf>
    <xf numFmtId="164" fontId="7" fillId="8" borderId="3" xfId="0" applyNumberFormat="1" applyFont="1" applyFill="1" applyBorder="1" applyAlignment="1">
      <alignment horizontal="center" vertical="center" wrapText="1"/>
    </xf>
    <xf numFmtId="164" fontId="9" fillId="8" borderId="4" xfId="0" applyNumberFormat="1" applyFont="1" applyFill="1" applyBorder="1" applyAlignment="1">
      <alignment horizontal="center" vertical="center"/>
    </xf>
    <xf numFmtId="164" fontId="9" fillId="8" borderId="5" xfId="0" applyNumberFormat="1" applyFont="1" applyFill="1" applyBorder="1" applyAlignment="1">
      <alignment horizontal="center" vertical="center"/>
    </xf>
    <xf numFmtId="164" fontId="9" fillId="8" borderId="6" xfId="0" applyNumberFormat="1" applyFont="1" applyFill="1" applyBorder="1" applyAlignment="1">
      <alignment horizontal="center" vertical="center"/>
    </xf>
    <xf numFmtId="164" fontId="2" fillId="8" borderId="4" xfId="0" applyNumberFormat="1" applyFont="1" applyFill="1" applyBorder="1" applyAlignment="1">
      <alignment horizontal="center" vertical="center"/>
    </xf>
    <xf numFmtId="164" fontId="2" fillId="8" borderId="6" xfId="0" applyNumberFormat="1" applyFont="1" applyFill="1" applyBorder="1" applyAlignment="1">
      <alignment horizontal="center" vertical="center"/>
    </xf>
    <xf numFmtId="164" fontId="2" fillId="8" borderId="7" xfId="0" applyNumberFormat="1" applyFont="1" applyFill="1" applyBorder="1" applyAlignment="1">
      <alignment horizontal="center" vertical="center"/>
    </xf>
    <xf numFmtId="164" fontId="2" fillId="8" borderId="8" xfId="0" applyNumberFormat="1" applyFont="1" applyFill="1" applyBorder="1" applyAlignment="1">
      <alignment horizontal="center" vertical="center"/>
    </xf>
    <xf numFmtId="164" fontId="2" fillId="8" borderId="9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right" vertical="center" indent="1" readingOrder="2"/>
    </xf>
    <xf numFmtId="1" fontId="5" fillId="3" borderId="0" xfId="0" applyNumberFormat="1" applyFont="1" applyFill="1" applyAlignment="1">
      <alignment horizontal="right" vertical="center" indent="1" readingOrder="2"/>
    </xf>
    <xf numFmtId="164" fontId="20" fillId="4" borderId="11" xfId="0" applyNumberFormat="1" applyFont="1" applyFill="1" applyBorder="1" applyAlignment="1">
      <alignment horizontal="center" vertical="center"/>
    </xf>
    <xf numFmtId="0" fontId="20" fillId="4" borderId="11" xfId="0" applyFont="1" applyFill="1" applyBorder="1" applyAlignment="1">
      <alignment horizontal="center" vertical="center"/>
    </xf>
    <xf numFmtId="164" fontId="20" fillId="4" borderId="12" xfId="0" applyNumberFormat="1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 wrapText="1"/>
    </xf>
    <xf numFmtId="164" fontId="7" fillId="13" borderId="3" xfId="0" applyNumberFormat="1" applyFont="1" applyFill="1" applyBorder="1" applyAlignment="1">
      <alignment horizontal="center" vertical="center" wrapText="1"/>
    </xf>
    <xf numFmtId="164" fontId="7" fillId="13" borderId="10" xfId="0" applyNumberFormat="1" applyFont="1" applyFill="1" applyBorder="1" applyAlignment="1">
      <alignment horizontal="center" vertical="center" wrapText="1"/>
    </xf>
    <xf numFmtId="164" fontId="9" fillId="3" borderId="13" xfId="0" applyNumberFormat="1" applyFont="1" applyFill="1" applyBorder="1" applyAlignment="1">
      <alignment horizontal="center" vertical="center"/>
    </xf>
    <xf numFmtId="164" fontId="8" fillId="3" borderId="5" xfId="0" applyNumberFormat="1" applyFont="1" applyFill="1" applyBorder="1" applyAlignment="1">
      <alignment horizontal="center" vertical="center"/>
    </xf>
    <xf numFmtId="169" fontId="9" fillId="4" borderId="5" xfId="0" applyNumberFormat="1" applyFont="1" applyFill="1" applyBorder="1" applyAlignment="1">
      <alignment horizontal="right" vertical="center" readingOrder="2"/>
    </xf>
    <xf numFmtId="169" fontId="5" fillId="4" borderId="5" xfId="0" applyNumberFormat="1" applyFont="1" applyFill="1" applyBorder="1" applyAlignment="1">
      <alignment horizontal="right" vertical="center" readingOrder="2"/>
    </xf>
    <xf numFmtId="169" fontId="9" fillId="4" borderId="5" xfId="0" applyNumberFormat="1" applyFont="1" applyFill="1" applyBorder="1" applyAlignment="1">
      <alignment vertical="center" readingOrder="2"/>
    </xf>
    <xf numFmtId="169" fontId="9" fillId="0" borderId="5" xfId="0" applyNumberFormat="1" applyFont="1" applyBorder="1" applyAlignment="1">
      <alignment horizontal="right" vertical="center" readingOrder="2"/>
    </xf>
    <xf numFmtId="169" fontId="14" fillId="4" borderId="5" xfId="0" applyNumberFormat="1" applyFont="1" applyFill="1" applyBorder="1" applyAlignment="1">
      <alignment horizontal="right" vertical="center"/>
    </xf>
    <xf numFmtId="1" fontId="21" fillId="4" borderId="5" xfId="0" applyNumberFormat="1" applyFont="1" applyFill="1" applyBorder="1" applyAlignment="1">
      <alignment horizontal="center" vertical="center"/>
    </xf>
    <xf numFmtId="164" fontId="22" fillId="4" borderId="5" xfId="0" applyNumberFormat="1" applyFont="1" applyFill="1" applyBorder="1" applyAlignment="1">
      <alignment horizontal="right" vertical="center"/>
    </xf>
    <xf numFmtId="2" fontId="22" fillId="4" borderId="5" xfId="0" applyNumberFormat="1" applyFont="1" applyFill="1" applyBorder="1" applyAlignment="1">
      <alignment horizontal="right" vertical="center" readingOrder="2"/>
    </xf>
    <xf numFmtId="169" fontId="22" fillId="4" borderId="5" xfId="0" applyNumberFormat="1" applyFont="1" applyFill="1" applyBorder="1" applyAlignment="1">
      <alignment horizontal="right" vertical="center" readingOrder="2"/>
    </xf>
    <xf numFmtId="1" fontId="22" fillId="0" borderId="5" xfId="0" applyNumberFormat="1" applyFont="1" applyBorder="1" applyAlignment="1">
      <alignment horizontal="center" vertical="center" readingOrder="2"/>
    </xf>
    <xf numFmtId="1" fontId="22" fillId="0" borderId="5" xfId="0" applyNumberFormat="1" applyFont="1" applyBorder="1" applyAlignment="1">
      <alignment horizontal="right" vertical="center" indent="1" readingOrder="2"/>
    </xf>
    <xf numFmtId="1" fontId="22" fillId="0" borderId="5" xfId="0" applyNumberFormat="1" applyFont="1" applyBorder="1" applyAlignment="1">
      <alignment horizontal="right" vertical="center" indent="2" readingOrder="2"/>
    </xf>
    <xf numFmtId="164" fontId="22" fillId="3" borderId="5" xfId="0" applyNumberFormat="1" applyFont="1" applyFill="1" applyBorder="1" applyAlignment="1">
      <alignment horizontal="right" vertical="center" indent="1"/>
    </xf>
    <xf numFmtId="164" fontId="22" fillId="3" borderId="5" xfId="0" applyNumberFormat="1" applyFont="1" applyFill="1" applyBorder="1" applyAlignment="1">
      <alignment horizontal="center" vertical="center"/>
    </xf>
    <xf numFmtId="1" fontId="22" fillId="4" borderId="5" xfId="0" applyNumberFormat="1" applyFont="1" applyFill="1" applyBorder="1" applyAlignment="1">
      <alignment horizontal="center" vertical="center"/>
    </xf>
    <xf numFmtId="164" fontId="22" fillId="3" borderId="5" xfId="0" applyNumberFormat="1" applyFont="1" applyFill="1" applyBorder="1" applyAlignment="1">
      <alignment horizontal="right" vertical="center"/>
    </xf>
    <xf numFmtId="0" fontId="22" fillId="3" borderId="6" xfId="0" applyFont="1" applyFill="1" applyBorder="1" applyAlignment="1">
      <alignment horizontal="center" vertical="center"/>
    </xf>
    <xf numFmtId="14" fontId="22" fillId="4" borderId="5" xfId="0" applyNumberFormat="1" applyFont="1" applyFill="1" applyBorder="1" applyAlignment="1">
      <alignment horizontal="right" vertical="center"/>
    </xf>
    <xf numFmtId="164" fontId="22" fillId="3" borderId="6" xfId="0" applyNumberFormat="1" applyFont="1" applyFill="1" applyBorder="1" applyAlignment="1">
      <alignment horizontal="center" vertical="center"/>
    </xf>
    <xf numFmtId="164" fontId="22" fillId="8" borderId="4" xfId="0" applyNumberFormat="1" applyFont="1" applyFill="1" applyBorder="1" applyAlignment="1">
      <alignment horizontal="center" vertical="center"/>
    </xf>
    <xf numFmtId="164" fontId="22" fillId="8" borderId="5" xfId="0" applyNumberFormat="1" applyFont="1" applyFill="1" applyBorder="1" applyAlignment="1">
      <alignment horizontal="center" vertical="center"/>
    </xf>
    <xf numFmtId="164" fontId="22" fillId="8" borderId="6" xfId="0" applyNumberFormat="1" applyFont="1" applyFill="1" applyBorder="1" applyAlignment="1">
      <alignment horizontal="center" vertical="center"/>
    </xf>
    <xf numFmtId="1" fontId="22" fillId="3" borderId="5" xfId="0" applyNumberFormat="1" applyFont="1" applyFill="1" applyBorder="1" applyAlignment="1">
      <alignment horizontal="center" vertical="center" readingOrder="2"/>
    </xf>
    <xf numFmtId="1" fontId="22" fillId="3" borderId="5" xfId="0" applyNumberFormat="1" applyFont="1" applyFill="1" applyBorder="1" applyAlignment="1">
      <alignment horizontal="right" vertical="center" indent="1" readingOrder="2"/>
    </xf>
    <xf numFmtId="1" fontId="22" fillId="3" borderId="5" xfId="0" applyNumberFormat="1" applyFont="1" applyFill="1" applyBorder="1" applyAlignment="1">
      <alignment horizontal="right" vertical="center" indent="2" readingOrder="2"/>
    </xf>
    <xf numFmtId="1" fontId="22" fillId="4" borderId="5" xfId="0" applyNumberFormat="1" applyFont="1" applyFill="1" applyBorder="1" applyAlignment="1">
      <alignment horizontal="center" vertical="center" readingOrder="2"/>
    </xf>
    <xf numFmtId="164" fontId="22" fillId="3" borderId="5" xfId="0" applyNumberFormat="1" applyFont="1" applyFill="1" applyBorder="1" applyAlignment="1">
      <alignment horizontal="right" vertical="center" indent="2"/>
    </xf>
    <xf numFmtId="164" fontId="21" fillId="3" borderId="5" xfId="0" applyNumberFormat="1" applyFont="1" applyFill="1" applyBorder="1" applyAlignment="1">
      <alignment horizontal="right" vertical="center" indent="1"/>
    </xf>
    <xf numFmtId="164" fontId="22" fillId="4" borderId="5" xfId="0" applyNumberFormat="1" applyFont="1" applyFill="1" applyBorder="1" applyAlignment="1">
      <alignment horizontal="center" vertical="center"/>
    </xf>
    <xf numFmtId="1" fontId="22" fillId="3" borderId="5" xfId="0" applyNumberFormat="1" applyFont="1" applyFill="1" applyBorder="1" applyAlignment="1">
      <alignment horizontal="right" vertical="center" indent="3" readingOrder="2"/>
    </xf>
    <xf numFmtId="1" fontId="22" fillId="4" borderId="5" xfId="0" applyNumberFormat="1" applyFont="1" applyFill="1" applyBorder="1" applyAlignment="1">
      <alignment horizontal="right" vertical="center" indent="1" readingOrder="2"/>
    </xf>
    <xf numFmtId="1" fontId="22" fillId="4" borderId="5" xfId="0" applyNumberFormat="1" applyFont="1" applyFill="1" applyBorder="1" applyAlignment="1">
      <alignment horizontal="right" vertical="center" indent="2" readingOrder="2"/>
    </xf>
    <xf numFmtId="164" fontId="23" fillId="4" borderId="11" xfId="2" applyNumberFormat="1" applyFont="1" applyFill="1" applyBorder="1" applyAlignment="1">
      <alignment horizontal="center" vertical="center"/>
    </xf>
    <xf numFmtId="1" fontId="14" fillId="6" borderId="5" xfId="0" applyNumberFormat="1" applyFont="1" applyFill="1" applyBorder="1" applyAlignment="1">
      <alignment horizontal="right" vertical="center"/>
    </xf>
    <xf numFmtId="2" fontId="9" fillId="6" borderId="5" xfId="0" applyNumberFormat="1" applyFont="1" applyFill="1" applyBorder="1" applyAlignment="1">
      <alignment horizontal="right" vertical="center" readingOrder="2"/>
    </xf>
    <xf numFmtId="2" fontId="5" fillId="6" borderId="5" xfId="0" applyNumberFormat="1" applyFont="1" applyFill="1" applyBorder="1" applyAlignment="1">
      <alignment horizontal="right" vertical="center" readingOrder="2"/>
    </xf>
    <xf numFmtId="164" fontId="15" fillId="4" borderId="5" xfId="0" applyNumberFormat="1" applyFont="1" applyFill="1" applyBorder="1" applyAlignment="1">
      <alignment horizontal="right" vertical="center" indent="1"/>
    </xf>
    <xf numFmtId="14" fontId="9" fillId="4" borderId="5" xfId="0" applyNumberFormat="1" applyFont="1" applyFill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/>
    </xf>
    <xf numFmtId="14" fontId="2" fillId="4" borderId="8" xfId="0" applyNumberFormat="1" applyFont="1" applyFill="1" applyBorder="1" applyAlignment="1">
      <alignment horizontal="center" vertical="center"/>
    </xf>
    <xf numFmtId="14" fontId="24" fillId="4" borderId="5" xfId="0" applyNumberFormat="1" applyFont="1" applyFill="1" applyBorder="1" applyAlignment="1">
      <alignment horizontal="center" vertical="center"/>
    </xf>
    <xf numFmtId="14" fontId="25" fillId="4" borderId="8" xfId="0" applyNumberFormat="1" applyFont="1" applyFill="1" applyBorder="1" applyAlignment="1">
      <alignment horizontal="center" vertical="center"/>
    </xf>
    <xf numFmtId="164" fontId="7" fillId="14" borderId="3" xfId="0" applyNumberFormat="1" applyFont="1" applyFill="1" applyBorder="1" applyAlignment="1">
      <alignment horizontal="center" vertical="center" wrapText="1"/>
    </xf>
    <xf numFmtId="164" fontId="9" fillId="14" borderId="6" xfId="0" applyNumberFormat="1" applyFont="1" applyFill="1" applyBorder="1" applyAlignment="1">
      <alignment horizontal="center" vertical="center"/>
    </xf>
    <xf numFmtId="164" fontId="2" fillId="14" borderId="9" xfId="0" applyNumberFormat="1" applyFont="1" applyFill="1" applyBorder="1" applyAlignment="1">
      <alignment horizontal="center" vertical="center"/>
    </xf>
    <xf numFmtId="164" fontId="9" fillId="14" borderId="6" xfId="0" applyNumberFormat="1" applyFont="1" applyFill="1" applyBorder="1" applyAlignment="1">
      <alignment horizontal="center" vertical="center"/>
    </xf>
    <xf numFmtId="164" fontId="9" fillId="14" borderId="6" xfId="0" applyNumberFormat="1" applyFont="1" applyFill="1" applyBorder="1" applyAlignment="1">
      <alignment horizontal="center" vertical="center"/>
    </xf>
    <xf numFmtId="164" fontId="9" fillId="14" borderId="6" xfId="0" applyNumberFormat="1" applyFont="1" applyFill="1" applyBorder="1" applyAlignment="1">
      <alignment horizontal="center" vertical="center"/>
    </xf>
    <xf numFmtId="164" fontId="9" fillId="14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64" fontId="15" fillId="2" borderId="1" xfId="0" applyNumberFormat="1" applyFont="1" applyFill="1" applyBorder="1" applyAlignment="1">
      <alignment horizontal="center" vertical="center" wrapText="1"/>
    </xf>
    <xf numFmtId="164" fontId="15" fillId="2" borderId="2" xfId="0" applyNumberFormat="1" applyFont="1" applyFill="1" applyBorder="1" applyAlignment="1">
      <alignment horizontal="center" vertical="center" wrapText="1"/>
    </xf>
    <xf numFmtId="1" fontId="15" fillId="2" borderId="2" xfId="0" applyNumberFormat="1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165" fontId="15" fillId="2" borderId="2" xfId="0" applyNumberFormat="1" applyFont="1" applyFill="1" applyBorder="1" applyAlignment="1">
      <alignment horizontal="center" vertical="center" wrapText="1"/>
    </xf>
    <xf numFmtId="0" fontId="15" fillId="13" borderId="2" xfId="0" applyFont="1" applyFill="1" applyBorder="1" applyAlignment="1">
      <alignment horizontal="center" vertical="center" wrapText="1"/>
    </xf>
    <xf numFmtId="164" fontId="15" fillId="13" borderId="3" xfId="0" applyNumberFormat="1" applyFont="1" applyFill="1" applyBorder="1" applyAlignment="1">
      <alignment horizontal="center" vertical="center" wrapText="1"/>
    </xf>
    <xf numFmtId="164" fontId="15" fillId="13" borderId="10" xfId="0" applyNumberFormat="1" applyFont="1" applyFill="1" applyBorder="1" applyAlignment="1">
      <alignment horizontal="center" vertical="center" wrapText="1"/>
    </xf>
    <xf numFmtId="164" fontId="15" fillId="8" borderId="1" xfId="0" applyNumberFormat="1" applyFont="1" applyFill="1" applyBorder="1" applyAlignment="1">
      <alignment horizontal="center" vertical="center" wrapText="1"/>
    </xf>
    <xf numFmtId="164" fontId="15" fillId="8" borderId="2" xfId="0" applyNumberFormat="1" applyFont="1" applyFill="1" applyBorder="1" applyAlignment="1">
      <alignment horizontal="center" vertical="center" wrapText="1"/>
    </xf>
    <xf numFmtId="164" fontId="15" fillId="8" borderId="3" xfId="0" applyNumberFormat="1" applyFont="1" applyFill="1" applyBorder="1" applyAlignment="1">
      <alignment horizontal="center" vertical="center" wrapText="1"/>
    </xf>
    <xf numFmtId="164" fontId="15" fillId="14" borderId="3" xfId="0" applyNumberFormat="1" applyFont="1" applyFill="1" applyBorder="1" applyAlignment="1">
      <alignment horizontal="center" vertical="center" wrapText="1"/>
    </xf>
    <xf numFmtId="164" fontId="9" fillId="4" borderId="11" xfId="0" applyNumberFormat="1" applyFont="1" applyFill="1" applyBorder="1" applyAlignment="1">
      <alignment horizontal="center" vertical="center"/>
    </xf>
    <xf numFmtId="1" fontId="9" fillId="0" borderId="5" xfId="0" applyNumberFormat="1" applyFont="1" applyBorder="1" applyAlignment="1">
      <alignment horizontal="right" vertical="center" indent="2" readingOrder="2"/>
    </xf>
    <xf numFmtId="0" fontId="9" fillId="4" borderId="11" xfId="0" applyFont="1" applyFill="1" applyBorder="1" applyAlignment="1">
      <alignment horizontal="center" vertical="center"/>
    </xf>
    <xf numFmtId="164" fontId="26" fillId="3" borderId="0" xfId="0" applyNumberFormat="1" applyFont="1" applyFill="1" applyAlignment="1">
      <alignment horizontal="center" vertical="center"/>
    </xf>
    <xf numFmtId="1" fontId="9" fillId="3" borderId="5" xfId="0" applyNumberFormat="1" applyFont="1" applyFill="1" applyBorder="1" applyAlignment="1">
      <alignment horizontal="right" vertical="center" indent="2" readingOrder="2"/>
    </xf>
    <xf numFmtId="164" fontId="9" fillId="3" borderId="5" xfId="0" applyNumberFormat="1" applyFont="1" applyFill="1" applyBorder="1" applyAlignment="1">
      <alignment horizontal="right" vertical="center" indent="2"/>
    </xf>
    <xf numFmtId="164" fontId="8" fillId="3" borderId="5" xfId="0" applyNumberFormat="1" applyFont="1" applyFill="1" applyBorder="1" applyAlignment="1">
      <alignment horizontal="right" vertical="center" indent="1"/>
    </xf>
    <xf numFmtId="1" fontId="9" fillId="3" borderId="5" xfId="0" applyNumberFormat="1" applyFont="1" applyFill="1" applyBorder="1" applyAlignment="1">
      <alignment horizontal="right" vertical="center" indent="3" readingOrder="2"/>
    </xf>
    <xf numFmtId="1" fontId="9" fillId="4" borderId="5" xfId="0" applyNumberFormat="1" applyFont="1" applyFill="1" applyBorder="1" applyAlignment="1">
      <alignment horizontal="right" vertical="center" indent="2" readingOrder="2"/>
    </xf>
    <xf numFmtId="1" fontId="27" fillId="6" borderId="5" xfId="0" applyNumberFormat="1" applyFont="1" applyFill="1" applyBorder="1" applyAlignment="1">
      <alignment horizontal="right" vertical="center"/>
    </xf>
    <xf numFmtId="169" fontId="27" fillId="4" borderId="5" xfId="0" applyNumberFormat="1" applyFont="1" applyFill="1" applyBorder="1" applyAlignment="1">
      <alignment horizontal="right" vertical="center"/>
    </xf>
    <xf numFmtId="164" fontId="28" fillId="4" borderId="11" xfId="2" applyNumberFormat="1" applyFont="1" applyFill="1" applyBorder="1" applyAlignment="1">
      <alignment horizontal="center" vertical="center"/>
    </xf>
    <xf numFmtId="2" fontId="29" fillId="6" borderId="5" xfId="0" applyNumberFormat="1" applyFont="1" applyFill="1" applyBorder="1" applyAlignment="1">
      <alignment horizontal="right" vertical="center" readingOrder="2"/>
    </xf>
    <xf numFmtId="169" fontId="29" fillId="4" borderId="5" xfId="0" applyNumberFormat="1" applyFont="1" applyFill="1" applyBorder="1" applyAlignment="1">
      <alignment horizontal="right" vertical="center" readingOrder="2"/>
    </xf>
    <xf numFmtId="1" fontId="29" fillId="3" borderId="5" xfId="0" applyNumberFormat="1" applyFont="1" applyFill="1" applyBorder="1" applyAlignment="1">
      <alignment horizontal="center" vertical="center" readingOrder="2"/>
    </xf>
    <xf numFmtId="1" fontId="29" fillId="3" borderId="5" xfId="0" applyNumberFormat="1" applyFont="1" applyFill="1" applyBorder="1" applyAlignment="1">
      <alignment horizontal="right" vertical="center" indent="1" readingOrder="2"/>
    </xf>
    <xf numFmtId="1" fontId="29" fillId="3" borderId="5" xfId="0" applyNumberFormat="1" applyFont="1" applyFill="1" applyBorder="1" applyAlignment="1">
      <alignment horizontal="right" vertical="center" indent="2" readingOrder="2"/>
    </xf>
    <xf numFmtId="164" fontId="30" fillId="3" borderId="5" xfId="0" applyNumberFormat="1" applyFont="1" applyFill="1" applyBorder="1" applyAlignment="1">
      <alignment horizontal="center" vertical="center"/>
    </xf>
    <xf numFmtId="14" fontId="30" fillId="4" borderId="5" xfId="0" applyNumberFormat="1" applyFont="1" applyFill="1" applyBorder="1" applyAlignment="1">
      <alignment horizontal="right" vertical="center"/>
    </xf>
    <xf numFmtId="1" fontId="30" fillId="4" borderId="5" xfId="0" applyNumberFormat="1" applyFont="1" applyFill="1" applyBorder="1" applyAlignment="1">
      <alignment horizontal="center" vertical="center"/>
    </xf>
    <xf numFmtId="164" fontId="31" fillId="3" borderId="5" xfId="0" applyNumberFormat="1" applyFont="1" applyFill="1" applyBorder="1" applyAlignment="1">
      <alignment horizontal="right" vertical="center"/>
    </xf>
    <xf numFmtId="164" fontId="30" fillId="8" borderId="4" xfId="0" applyNumberFormat="1" applyFont="1" applyFill="1" applyBorder="1" applyAlignment="1">
      <alignment horizontal="center" vertical="center"/>
    </xf>
    <xf numFmtId="164" fontId="30" fillId="8" borderId="6" xfId="0" applyNumberFormat="1" applyFont="1" applyFill="1" applyBorder="1" applyAlignment="1">
      <alignment horizontal="center" vertical="center"/>
    </xf>
    <xf numFmtId="2" fontId="29" fillId="4" borderId="8" xfId="0" applyNumberFormat="1" applyFont="1" applyFill="1" applyBorder="1" applyAlignment="1">
      <alignment horizontal="right" vertical="center" readingOrder="2"/>
    </xf>
    <xf numFmtId="1" fontId="29" fillId="4" borderId="8" xfId="0" applyNumberFormat="1" applyFont="1" applyFill="1" applyBorder="1" applyAlignment="1">
      <alignment horizontal="right" vertical="center" readingOrder="2"/>
    </xf>
    <xf numFmtId="1" fontId="29" fillId="3" borderId="8" xfId="0" applyNumberFormat="1" applyFont="1" applyFill="1" applyBorder="1" applyAlignment="1">
      <alignment horizontal="center" vertical="center" readingOrder="2"/>
    </xf>
    <xf numFmtId="1" fontId="29" fillId="3" borderId="8" xfId="0" applyNumberFormat="1" applyFont="1" applyFill="1" applyBorder="1" applyAlignment="1">
      <alignment horizontal="right" vertical="center" indent="1" readingOrder="2"/>
    </xf>
    <xf numFmtId="1" fontId="29" fillId="3" borderId="8" xfId="0" applyNumberFormat="1" applyFont="1" applyFill="1" applyBorder="1" applyAlignment="1">
      <alignment horizontal="right" vertical="center" indent="2" readingOrder="2"/>
    </xf>
    <xf numFmtId="1" fontId="29" fillId="4" borderId="8" xfId="0" applyNumberFormat="1" applyFont="1" applyFill="1" applyBorder="1" applyAlignment="1">
      <alignment horizontal="center" vertical="center" readingOrder="2"/>
    </xf>
    <xf numFmtId="164" fontId="31" fillId="3" borderId="8" xfId="0" applyNumberFormat="1" applyFont="1" applyFill="1" applyBorder="1" applyAlignment="1">
      <alignment horizontal="right" vertical="center" indent="2"/>
    </xf>
    <xf numFmtId="164" fontId="30" fillId="3" borderId="8" xfId="0" applyNumberFormat="1" applyFont="1" applyFill="1" applyBorder="1" applyAlignment="1">
      <alignment horizontal="center" vertical="center"/>
    </xf>
    <xf numFmtId="14" fontId="30" fillId="4" borderId="8" xfId="0" applyNumberFormat="1" applyFont="1" applyFill="1" applyBorder="1" applyAlignment="1">
      <alignment horizontal="right" vertical="center"/>
    </xf>
    <xf numFmtId="164" fontId="31" fillId="3" borderId="8" xfId="0" applyNumberFormat="1" applyFont="1" applyFill="1" applyBorder="1" applyAlignment="1">
      <alignment horizontal="right" vertical="center"/>
    </xf>
    <xf numFmtId="164" fontId="9" fillId="4" borderId="12" xfId="0" applyNumberFormat="1" applyFont="1" applyFill="1" applyBorder="1" applyAlignment="1">
      <alignment horizontal="center" vertical="center"/>
    </xf>
    <xf numFmtId="164" fontId="30" fillId="8" borderId="7" xfId="0" applyNumberFormat="1" applyFont="1" applyFill="1" applyBorder="1" applyAlignment="1">
      <alignment horizontal="center" vertical="center"/>
    </xf>
    <xf numFmtId="164" fontId="30" fillId="8" borderId="8" xfId="0" applyNumberFormat="1" applyFont="1" applyFill="1" applyBorder="1" applyAlignment="1">
      <alignment horizontal="center" vertical="center"/>
    </xf>
    <xf numFmtId="164" fontId="30" fillId="8" borderId="9" xfId="0" applyNumberFormat="1" applyFont="1" applyFill="1" applyBorder="1" applyAlignment="1">
      <alignment horizontal="center" vertical="center"/>
    </xf>
    <xf numFmtId="14" fontId="30" fillId="4" borderId="8" xfId="0" applyNumberFormat="1" applyFont="1" applyFill="1" applyBorder="1" applyAlignment="1">
      <alignment horizontal="center" vertical="center"/>
    </xf>
    <xf numFmtId="164" fontId="30" fillId="14" borderId="9" xfId="0" applyNumberFormat="1" applyFont="1" applyFill="1" applyBorder="1" applyAlignment="1">
      <alignment horizontal="center" vertical="center"/>
    </xf>
    <xf numFmtId="170" fontId="15" fillId="2" borderId="2" xfId="0" applyNumberFormat="1" applyFont="1" applyFill="1" applyBorder="1" applyAlignment="1">
      <alignment horizontal="center" vertical="center" wrapText="1"/>
    </xf>
    <xf numFmtId="170" fontId="8" fillId="4" borderId="5" xfId="0" applyNumberFormat="1" applyFont="1" applyFill="1" applyBorder="1" applyAlignment="1">
      <alignment horizontal="center" vertical="center"/>
    </xf>
    <xf numFmtId="170" fontId="8" fillId="4" borderId="8" xfId="0" applyNumberFormat="1" applyFont="1" applyFill="1" applyBorder="1" applyAlignment="1">
      <alignment horizontal="center" vertical="center"/>
    </xf>
    <xf numFmtId="170" fontId="0" fillId="0" borderId="0" xfId="0" applyNumberFormat="1"/>
    <xf numFmtId="171" fontId="8" fillId="4" borderId="5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134A11E7-7D31-4573-9061-9F70CA89C8D3}"/>
    <cellStyle name="ניטראלי" xfId="2" builtinId="28"/>
  </cellStyles>
  <dxfs count="12">
    <dxf>
      <font>
        <color rgb="FF9C5700"/>
      </font>
      <fill>
        <patternFill patternType="solid">
          <fgColor indexed="64"/>
          <bgColor rgb="FFFFFF00"/>
        </patternFill>
      </fill>
    </dxf>
    <dxf>
      <font>
        <color rgb="FF9C5700"/>
      </font>
      <fill>
        <patternFill patternType="solid">
          <fgColor indexed="64"/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FFCCFF"/>
        </patternFill>
      </fill>
    </dxf>
    <dxf>
      <fill>
        <patternFill>
          <bgColor rgb="FF66CCFF"/>
        </patternFill>
      </fill>
    </dxf>
    <dxf>
      <font>
        <color rgb="FF9C5700"/>
      </font>
      <fill>
        <patternFill patternType="solid">
          <fgColor indexed="64"/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FFCCFF"/>
        </patternFill>
      </fill>
    </dxf>
    <dxf>
      <fill>
        <patternFill>
          <bgColor rgb="FF66CCFF"/>
        </patternFill>
      </fill>
    </dxf>
    <dxf>
      <fill>
        <patternFill>
          <bgColor rgb="FF66CCFF"/>
        </patternFill>
      </fill>
    </dxf>
    <dxf>
      <fill>
        <patternFill>
          <bgColor theme="7" tint="0.59996337778862885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colors>
    <mruColors>
      <color rgb="FFFFC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1514;&#1497;&#1511;&#1497;&#1492;%20&#1495;&#1491;&#1513;&#1492;%20(3)\&#1502;&#1508;&#1506;&#1500;%202026\06.26\&#1512;&#1493;&#1494;&#1496;%2006.26.xlsm" TargetMode="External"/><Relationship Id="rId1" Type="http://schemas.openxmlformats.org/officeDocument/2006/relationships/externalLinkPath" Target="/&#1514;&#1497;&#1511;&#1497;&#1492;%20&#1495;&#1491;&#1513;&#1492;%20(3)/&#1502;&#1508;&#1506;&#1500;%202026/06.26/&#1512;&#1493;&#1494;&#1496;%2006.26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1514;&#1497;&#1511;&#1497;&#1492;%20&#1495;&#1491;&#1513;&#1492;%20(3)\&#1502;&#1508;&#1506;&#1500;%202026\06.26\06.26%20&#1513;&#1500;&#1493;&#1501;.xlsm" TargetMode="External"/><Relationship Id="rId1" Type="http://schemas.openxmlformats.org/officeDocument/2006/relationships/externalLinkPath" Target="/&#1514;&#1497;&#1511;&#1497;&#1492;%20&#1495;&#1491;&#1513;&#1492;%20(3)/&#1502;&#1508;&#1506;&#1500;%202026/06.26/06.26%20&#1513;&#1500;&#1493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דוחות"/>
      <sheetName val="nohahut"/>
      <sheetName val="KerenNew"/>
      <sheetName val="Adress"/>
      <sheetName val="מרים"/>
      <sheetName val="אריה"/>
      <sheetName val="טל"/>
      <sheetName val="ספי"/>
      <sheetName val="מרסלו"/>
      <sheetName val="יוסרה"/>
      <sheetName val="גרין"/>
      <sheetName val="דובידזון"/>
      <sheetName val="מדי"/>
      <sheetName val="וולקמינסקי"/>
      <sheetName val="רומן.ט"/>
      <sheetName val="יוסי"/>
      <sheetName val="מולה"/>
      <sheetName val="איגור.מ"/>
      <sheetName val="מנדי"/>
      <sheetName val="דותן"/>
      <sheetName val="עבד"/>
      <sheetName val="נתנאל"/>
      <sheetName val="יבגני"/>
      <sheetName val="רומן"/>
      <sheetName val="איגור"/>
      <sheetName val="הלנה"/>
      <sheetName val="איליה"/>
      <sheetName val="ראול"/>
      <sheetName val="אילנה"/>
      <sheetName val="26"/>
      <sheetName val="27"/>
      <sheetName val="28"/>
      <sheetName val="29"/>
      <sheetName val="30"/>
      <sheetName val="גיליון1"/>
      <sheetName val="Adress (2)"/>
      <sheetName val="כללי"/>
      <sheetName val="ציון"/>
      <sheetName val="הערכת מקבל השירות"/>
      <sheetName val="עבודות"/>
      <sheetName val="תשלום"/>
    </sheetNames>
    <sheetDataSet>
      <sheetData sheetId="0" refreshError="1"/>
      <sheetData sheetId="1">
        <row r="2">
          <cell r="D2" t="str">
            <v>מקבלי שרות בסדנת :</v>
          </cell>
        </row>
        <row r="3">
          <cell r="D3" t="str">
            <v>שמו של נותן השרות :</v>
          </cell>
        </row>
        <row r="4">
          <cell r="B4" t="str">
            <v>מספר ת.ז.</v>
          </cell>
          <cell r="C4" t="str">
            <v>שם מקבל השרות</v>
          </cell>
          <cell r="D4" t="str">
            <v>תחילת עבודה</v>
          </cell>
        </row>
        <row r="6">
          <cell r="B6">
            <v>27007889</v>
          </cell>
          <cell r="C6" t="str">
            <v>אזולאי           מרים</v>
          </cell>
          <cell r="D6">
            <v>41640</v>
          </cell>
        </row>
        <row r="7">
          <cell r="B7">
            <v>309642668</v>
          </cell>
          <cell r="C7" t="str">
            <v>אריה             יהושע שלמה</v>
          </cell>
          <cell r="D7">
            <v>41640</v>
          </cell>
        </row>
        <row r="8">
          <cell r="B8">
            <v>201408374</v>
          </cell>
          <cell r="C8" t="str">
            <v>בן אור            טל דב</v>
          </cell>
          <cell r="D8">
            <v>46072</v>
          </cell>
        </row>
        <row r="9">
          <cell r="B9">
            <v>66449331</v>
          </cell>
          <cell r="C9" t="str">
            <v>בן חמו           ספי</v>
          </cell>
          <cell r="D9">
            <v>46174</v>
          </cell>
        </row>
        <row r="10">
          <cell r="B10">
            <v>17129974</v>
          </cell>
          <cell r="C10" t="str">
            <v>גולדשר          ראובן מרסלו</v>
          </cell>
          <cell r="D10">
            <v>44543</v>
          </cell>
        </row>
        <row r="11">
          <cell r="B11">
            <v>309985513</v>
          </cell>
          <cell r="C11" t="str">
            <v>גילאי              יוסרה</v>
          </cell>
          <cell r="D11">
            <v>44056</v>
          </cell>
        </row>
        <row r="12">
          <cell r="B12">
            <v>324577287</v>
          </cell>
          <cell r="C12" t="str">
            <v>גרין                איליה</v>
          </cell>
          <cell r="D12">
            <v>46065</v>
          </cell>
        </row>
        <row r="13">
          <cell r="B13">
            <v>311719272</v>
          </cell>
          <cell r="C13" t="str">
            <v>דובידזון          דימיטרי</v>
          </cell>
          <cell r="D13">
            <v>41640</v>
          </cell>
        </row>
        <row r="14">
          <cell r="B14">
            <v>14391171</v>
          </cell>
          <cell r="C14" t="str">
            <v>דלל               מדי</v>
          </cell>
          <cell r="D14">
            <v>43709</v>
          </cell>
        </row>
        <row r="15">
          <cell r="B15">
            <v>341311017</v>
          </cell>
          <cell r="C15" t="str">
            <v xml:space="preserve">וולקומרסקי     רומן           </v>
          </cell>
          <cell r="D15">
            <v>43831</v>
          </cell>
        </row>
        <row r="16">
          <cell r="B16">
            <v>317207512</v>
          </cell>
          <cell r="C16" t="str">
            <v>טוחבוטולין      רומן</v>
          </cell>
          <cell r="D16">
            <v>45445</v>
          </cell>
        </row>
        <row r="17">
          <cell r="B17">
            <v>58271008</v>
          </cell>
          <cell r="C17" t="str">
            <v>כהו                יוסי</v>
          </cell>
          <cell r="D17" t="str">
            <v>15/06/20017</v>
          </cell>
        </row>
        <row r="18">
          <cell r="B18">
            <v>20312996</v>
          </cell>
          <cell r="C18" t="str">
            <v>מולה             ירח</v>
          </cell>
          <cell r="D18">
            <v>45950</v>
          </cell>
        </row>
        <row r="19">
          <cell r="B19">
            <v>306559402</v>
          </cell>
          <cell r="C19" t="str">
            <v>מורדוכוביץ      יגור</v>
          </cell>
          <cell r="D19">
            <v>45710</v>
          </cell>
        </row>
        <row r="20">
          <cell r="B20">
            <v>59041954</v>
          </cell>
          <cell r="C20" t="str">
            <v>מנדי              אברהם</v>
          </cell>
          <cell r="D20">
            <v>44927</v>
          </cell>
        </row>
        <row r="21">
          <cell r="B21">
            <v>40151524</v>
          </cell>
          <cell r="C21" t="str">
            <v xml:space="preserve">סיגווקר           דותן   </v>
          </cell>
          <cell r="D21">
            <v>45866</v>
          </cell>
        </row>
        <row r="22">
          <cell r="B22">
            <v>28380228</v>
          </cell>
          <cell r="C22" t="str">
            <v>עבד               אבא יחיה</v>
          </cell>
          <cell r="D22">
            <v>44161</v>
          </cell>
        </row>
        <row r="23">
          <cell r="B23">
            <v>315602961</v>
          </cell>
          <cell r="C23" t="str">
            <v>עמר              רחמים נתנאל</v>
          </cell>
          <cell r="D23">
            <v>45956</v>
          </cell>
        </row>
        <row r="24">
          <cell r="B24">
            <v>319272902</v>
          </cell>
          <cell r="C24" t="str">
            <v>פוטפוב          יבגני</v>
          </cell>
          <cell r="D24">
            <v>45095</v>
          </cell>
        </row>
        <row r="25">
          <cell r="B25">
            <v>317419679</v>
          </cell>
          <cell r="C25" t="str">
            <v xml:space="preserve">פלדמן            רומן             </v>
          </cell>
          <cell r="D25">
            <v>42295</v>
          </cell>
        </row>
        <row r="26">
          <cell r="B26">
            <v>320689516</v>
          </cell>
          <cell r="C26" t="str">
            <v>פסיקוב          איגור</v>
          </cell>
          <cell r="D26">
            <v>44909</v>
          </cell>
        </row>
        <row r="27">
          <cell r="B27">
            <v>17533878</v>
          </cell>
          <cell r="C27" t="str">
            <v xml:space="preserve">קרסיק            הלנה           </v>
          </cell>
          <cell r="D27">
            <v>43709</v>
          </cell>
        </row>
        <row r="28">
          <cell r="B28">
            <v>316939479</v>
          </cell>
          <cell r="C28" t="str">
            <v>רודרמן           איליה</v>
          </cell>
          <cell r="D28">
            <v>44993</v>
          </cell>
        </row>
        <row r="29">
          <cell r="B29">
            <v>67840405</v>
          </cell>
          <cell r="C29" t="str">
            <v xml:space="preserve">שוורץ             ראול            </v>
          </cell>
          <cell r="D29">
            <v>44475</v>
          </cell>
        </row>
        <row r="37">
          <cell r="B37" t="str">
            <v>שמי :</v>
          </cell>
          <cell r="C37" t="str">
            <v>פירוזה רוזט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דוחות"/>
      <sheetName val="nohahut"/>
      <sheetName val="KerenNew"/>
      <sheetName val="Adress "/>
      <sheetName val="אליהו"/>
      <sheetName val="אסתר"/>
      <sheetName val="אלבז"/>
      <sheetName val="אקימוב"/>
      <sheetName val="ברוך"/>
      <sheetName val="ביגול"/>
      <sheetName val="גלעד"/>
      <sheetName val="גנת"/>
      <sheetName val="דניאל"/>
      <sheetName val="ויקטוריה"/>
      <sheetName val="ונינה"/>
      <sheetName val="חנה"/>
      <sheetName val="יצהר"/>
      <sheetName val="יניב"/>
      <sheetName val="ליאונרדו"/>
      <sheetName val="מרגריטה"/>
      <sheetName val="מאיר"/>
      <sheetName val="נטלי"/>
      <sheetName val="ניסים"/>
      <sheetName val="עליזה"/>
      <sheetName val="ציגליק"/>
      <sheetName val="27"/>
      <sheetName val="קלרה"/>
      <sheetName val="רוזנבלט"/>
      <sheetName val="סוסלוב"/>
      <sheetName val="קובי"/>
      <sheetName val="26"/>
      <sheetName val="28"/>
      <sheetName val="29"/>
      <sheetName val="30"/>
      <sheetName val="ציון"/>
      <sheetName val="הערכת מקבל השירות"/>
      <sheetName val="כללי"/>
      <sheetName val="תשלום"/>
      <sheetName val="עבודות"/>
    </sheetNames>
    <sheetDataSet>
      <sheetData sheetId="0" refreshError="1"/>
      <sheetData sheetId="1">
        <row r="2">
          <cell r="D2" t="str">
            <v>מקבלי שרות בסדנת :</v>
          </cell>
        </row>
        <row r="3">
          <cell r="D3" t="str">
            <v>שמו של נותן השרות :</v>
          </cell>
        </row>
        <row r="4">
          <cell r="B4" t="str">
            <v>מספר ת.ז.</v>
          </cell>
          <cell r="C4" t="str">
            <v>שם מקבל השרות</v>
          </cell>
          <cell r="D4" t="str">
            <v>תחילת עבודה</v>
          </cell>
        </row>
        <row r="6">
          <cell r="B6">
            <v>38320107</v>
          </cell>
          <cell r="C6" t="str">
            <v>אזייב             דניאל</v>
          </cell>
          <cell r="D6">
            <v>43269</v>
          </cell>
        </row>
        <row r="7">
          <cell r="B7">
            <v>26483222</v>
          </cell>
          <cell r="C7" t="str">
            <v>אוקנין            ישראל קובי</v>
          </cell>
          <cell r="D7">
            <v>46096</v>
          </cell>
        </row>
        <row r="8">
          <cell r="B8">
            <v>31864077</v>
          </cell>
          <cell r="C8" t="str">
            <v>אזולאי           מאיר</v>
          </cell>
          <cell r="D8">
            <v>45748</v>
          </cell>
        </row>
        <row r="9">
          <cell r="B9">
            <v>31900087</v>
          </cell>
          <cell r="C9" t="str">
            <v>אלבז             יהודה</v>
          </cell>
          <cell r="D9">
            <v>44066</v>
          </cell>
        </row>
        <row r="10">
          <cell r="B10">
            <v>317511947</v>
          </cell>
          <cell r="C10" t="str">
            <v>אקימוב          אלכס</v>
          </cell>
          <cell r="D10">
            <v>41640</v>
          </cell>
        </row>
        <row r="11">
          <cell r="B11">
            <v>313622235</v>
          </cell>
          <cell r="C11" t="str">
            <v>ביגול              ילנה</v>
          </cell>
          <cell r="D11">
            <v>43709</v>
          </cell>
        </row>
        <row r="12">
          <cell r="B12">
            <v>69044709</v>
          </cell>
          <cell r="C12" t="str">
            <v xml:space="preserve">גיגי                ברוך              </v>
          </cell>
          <cell r="D12">
            <v>43838</v>
          </cell>
        </row>
        <row r="13">
          <cell r="B13">
            <v>11542644</v>
          </cell>
          <cell r="C13" t="str">
            <v>גרינברג          ליאונרדו</v>
          </cell>
          <cell r="D13">
            <v>46089</v>
          </cell>
        </row>
        <row r="14">
          <cell r="B14">
            <v>36939916</v>
          </cell>
          <cell r="C14" t="str">
            <v>גרשומוב        ניסים</v>
          </cell>
          <cell r="D14">
            <v>46026</v>
          </cell>
        </row>
        <row r="15">
          <cell r="B15">
            <v>28973782</v>
          </cell>
          <cell r="C15" t="str">
            <v>וטורי             יניב</v>
          </cell>
          <cell r="D15">
            <v>44215</v>
          </cell>
        </row>
        <row r="16">
          <cell r="B16">
            <v>14990212</v>
          </cell>
          <cell r="C16" t="str">
            <v>ינקוביץ           ויקטוריה</v>
          </cell>
          <cell r="D16">
            <v>37530</v>
          </cell>
        </row>
        <row r="17">
          <cell r="B17">
            <v>324537364</v>
          </cell>
          <cell r="C17" t="str">
            <v>ינריץ              ונינה מרסלה</v>
          </cell>
          <cell r="D17">
            <v>45903</v>
          </cell>
        </row>
        <row r="18">
          <cell r="B18">
            <v>24277014</v>
          </cell>
          <cell r="C18" t="str">
            <v>יצהר             יצחק</v>
          </cell>
          <cell r="D18">
            <v>41640</v>
          </cell>
        </row>
        <row r="19">
          <cell r="B19">
            <v>59597799</v>
          </cell>
          <cell r="C19" t="str">
            <v>מנחם            אסתר</v>
          </cell>
          <cell r="D19">
            <v>43709</v>
          </cell>
        </row>
        <row r="20">
          <cell r="B20">
            <v>333877306</v>
          </cell>
          <cell r="C20" t="str">
            <v>סוסלוב          אלכסנדר</v>
          </cell>
          <cell r="D20">
            <v>45970</v>
          </cell>
        </row>
        <row r="21">
          <cell r="B21">
            <v>14280978</v>
          </cell>
          <cell r="C21" t="str">
            <v>ספיאשוולי      אליהו</v>
          </cell>
          <cell r="D21">
            <v>36526</v>
          </cell>
        </row>
        <row r="22">
          <cell r="B22">
            <v>14657175</v>
          </cell>
          <cell r="C22" t="str">
            <v>פלודרמן        קלרה</v>
          </cell>
          <cell r="D22">
            <v>43269</v>
          </cell>
        </row>
        <row r="23">
          <cell r="B23">
            <v>312047897</v>
          </cell>
          <cell r="C23" t="str">
            <v>פליגל            מרגריטה</v>
          </cell>
          <cell r="D23">
            <v>45005</v>
          </cell>
        </row>
        <row r="24">
          <cell r="B24">
            <v>309597060</v>
          </cell>
          <cell r="C24" t="str">
            <v>פרדו             גנת</v>
          </cell>
          <cell r="D24">
            <v>46068</v>
          </cell>
        </row>
        <row r="25">
          <cell r="B25">
            <v>54751573</v>
          </cell>
          <cell r="C25" t="str">
            <v>צאפני           חנה</v>
          </cell>
          <cell r="D25">
            <v>41640</v>
          </cell>
        </row>
        <row r="26">
          <cell r="B26">
            <v>37358249</v>
          </cell>
          <cell r="C26" t="str">
            <v>ציגלניק          מרים</v>
          </cell>
          <cell r="D26">
            <v>43226</v>
          </cell>
        </row>
        <row r="27">
          <cell r="B27">
            <v>28477826</v>
          </cell>
          <cell r="C27" t="str">
            <v>קולטן            עליזה</v>
          </cell>
          <cell r="D27">
            <v>43398</v>
          </cell>
        </row>
        <row r="28">
          <cell r="B28">
            <v>11115474</v>
          </cell>
          <cell r="C28" t="str">
            <v>רוזנבלט         אלכסנדר</v>
          </cell>
          <cell r="D28">
            <v>45036</v>
          </cell>
        </row>
        <row r="29">
          <cell r="B29">
            <v>34076489</v>
          </cell>
          <cell r="C29" t="str">
            <v>שיטרית         נטלי</v>
          </cell>
          <cell r="D29">
            <v>43970</v>
          </cell>
        </row>
        <row r="30">
          <cell r="B30">
            <v>14764302</v>
          </cell>
          <cell r="C30" t="str">
            <v>שראו            גלעד</v>
          </cell>
          <cell r="D30">
            <v>45383</v>
          </cell>
        </row>
        <row r="37">
          <cell r="B37" t="str">
            <v>שמי :</v>
          </cell>
          <cell r="C37" t="str">
            <v>שלום מימון</v>
          </cell>
        </row>
        <row r="39">
          <cell r="C39" t="str">
            <v>מחלה</v>
          </cell>
        </row>
        <row r="40">
          <cell r="C40" t="str">
            <v>סידורים</v>
          </cell>
        </row>
        <row r="41">
          <cell r="C41" t="str">
            <v>ללא סיבה</v>
          </cell>
        </row>
        <row r="42">
          <cell r="C42" t="str">
            <v>חופשה</v>
          </cell>
        </row>
        <row r="43">
          <cell r="C43" t="str">
            <v>סיכה עם ליבי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left" visibility="0" width="350" row="3">
    <wetp:webextensionref xmlns:r="http://schemas.openxmlformats.org/officeDocument/2006/relationships" r:id="rId1"/>
  </wetp:taskpane>
  <wetp:taskpane dockstate="left" visibility="0" width="350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83EA006-0CA7-490A-8E4A-E8AD31ABECD8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0fef295f-2029-4571-b831-3760cf1826cc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957B86D-345A-4DD1-932D-1BE4B8D05277}">
  <we:reference id="wa200011056" version="1.0.0.2" store="he-IL" storeType="OMEX"/>
  <we:alternateReferences>
    <we:reference id="wa200011056" version="1.0.0.2" store="WA200011056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>
    <pageSetUpPr fitToPage="1"/>
  </sheetPr>
  <dimension ref="A1:AC105"/>
  <sheetViews>
    <sheetView showZeros="0" rightToLeft="1" tabSelected="1" zoomScale="80" zoomScaleNormal="80" workbookViewId="0">
      <pane xSplit="6" ySplit="1" topLeftCell="Z2" activePane="bottomRight" state="frozen"/>
      <selection pane="topRight" activeCell="G1" sqref="G1"/>
      <selection pane="bottomLeft" activeCell="A2" sqref="A2"/>
      <selection pane="bottomRight" activeCell="AB100" sqref="AB100"/>
    </sheetView>
  </sheetViews>
  <sheetFormatPr defaultColWidth="8" defaultRowHeight="20.100000000000001" customHeight="1"/>
  <cols>
    <col min="1" max="1" width="8.75" style="1" customWidth="1"/>
    <col min="2" max="2" width="7.125" style="1" customWidth="1"/>
    <col min="3" max="3" width="21.75" style="1" bestFit="1" customWidth="1"/>
    <col min="4" max="4" width="13.625" style="5" customWidth="1"/>
    <col min="5" max="5" width="13" style="6" customWidth="1"/>
    <col min="6" max="6" width="9" style="1" customWidth="1"/>
    <col min="7" max="7" width="11.125" style="6" customWidth="1"/>
    <col min="8" max="8" width="27.125" style="8" bestFit="1" customWidth="1"/>
    <col min="9" max="9" width="14.125" style="6" customWidth="1"/>
    <col min="10" max="10" width="26.25" style="8" customWidth="1"/>
    <col min="11" max="11" width="12.75" style="6" customWidth="1"/>
    <col min="12" max="12" width="26" style="9" customWidth="1"/>
    <col min="13" max="13" width="13.25" style="1" customWidth="1"/>
    <col min="14" max="14" width="16.25" style="1" customWidth="1"/>
    <col min="15" max="15" width="11.375" style="7" customWidth="1"/>
    <col min="16" max="16" width="7.5" style="1" customWidth="1"/>
    <col min="17" max="17" width="10.5" style="1" customWidth="1"/>
    <col min="18" max="18" width="13.25" style="1" customWidth="1"/>
    <col min="19" max="19" width="11.375" style="1" customWidth="1"/>
    <col min="20" max="20" width="15.625" style="7" customWidth="1"/>
    <col min="21" max="21" width="31.5" style="1" bestFit="1" customWidth="1"/>
    <col min="22" max="22" width="26.5" customWidth="1"/>
    <col min="23" max="23" width="11.625" customWidth="1"/>
    <col min="24" max="26" width="6.625" style="1" customWidth="1"/>
    <col min="27" max="27" width="12.625" style="1" customWidth="1"/>
    <col min="28" max="28" width="14" style="1" customWidth="1"/>
    <col min="29" max="16384" width="8" style="1"/>
  </cols>
  <sheetData>
    <row r="1" spans="1:29" ht="42.75" customHeight="1">
      <c r="A1" s="21" t="s">
        <v>857</v>
      </c>
      <c r="B1" s="22" t="s">
        <v>402</v>
      </c>
      <c r="C1" s="22" t="s">
        <v>0</v>
      </c>
      <c r="D1" s="23" t="s">
        <v>1</v>
      </c>
      <c r="E1" s="23" t="s">
        <v>2</v>
      </c>
      <c r="F1" s="24" t="s">
        <v>325</v>
      </c>
      <c r="G1" s="23" t="s">
        <v>3</v>
      </c>
      <c r="H1" s="23" t="s">
        <v>905</v>
      </c>
      <c r="I1" s="23" t="s">
        <v>906</v>
      </c>
      <c r="J1" s="23" t="s">
        <v>4</v>
      </c>
      <c r="K1" s="23" t="s">
        <v>5</v>
      </c>
      <c r="L1" s="22" t="s">
        <v>6</v>
      </c>
      <c r="M1" s="22" t="s">
        <v>7</v>
      </c>
      <c r="N1" s="22" t="s">
        <v>8</v>
      </c>
      <c r="O1" s="22" t="s">
        <v>137</v>
      </c>
      <c r="P1" s="25" t="s">
        <v>9</v>
      </c>
      <c r="Q1" s="22" t="s">
        <v>10</v>
      </c>
      <c r="R1" s="22" t="s">
        <v>11</v>
      </c>
      <c r="S1" s="22" t="s">
        <v>12</v>
      </c>
      <c r="T1" s="22" t="s">
        <v>13</v>
      </c>
      <c r="U1" s="104" t="s">
        <v>104</v>
      </c>
      <c r="V1" s="105" t="s">
        <v>563</v>
      </c>
      <c r="W1" s="106" t="s">
        <v>1012</v>
      </c>
      <c r="X1" s="88" t="s">
        <v>901</v>
      </c>
      <c r="Y1" s="89" t="s">
        <v>902</v>
      </c>
      <c r="Z1" s="90" t="s">
        <v>16</v>
      </c>
      <c r="AA1" s="22" t="s">
        <v>1078</v>
      </c>
      <c r="AB1" s="22" t="s">
        <v>1079</v>
      </c>
      <c r="AC1" s="151" t="s">
        <v>673</v>
      </c>
    </row>
    <row r="2" spans="1:29" s="2" customFormat="1" ht="20.100000000000001" customHeight="1">
      <c r="A2" s="26">
        <f ca="1">IF(P2&lt;"",ROW()-1,"")</f>
        <v>1</v>
      </c>
      <c r="B2" s="114">
        <f>IF(ISBLANK(D2),0,IF(F2&lt;&gt;F1,1,1+B1))</f>
        <v>1</v>
      </c>
      <c r="C2" s="27" t="s">
        <v>384</v>
      </c>
      <c r="D2" s="109">
        <v>59225045</v>
      </c>
      <c r="E2" s="28" t="s">
        <v>82</v>
      </c>
      <c r="F2" s="29" t="s">
        <v>260</v>
      </c>
      <c r="G2" s="30" t="s">
        <v>14</v>
      </c>
      <c r="H2" s="31" t="s">
        <v>967</v>
      </c>
      <c r="I2" s="30" t="s">
        <v>909</v>
      </c>
      <c r="J2" s="31"/>
      <c r="K2" s="30" t="s">
        <v>32</v>
      </c>
      <c r="L2" s="32" t="s">
        <v>334</v>
      </c>
      <c r="M2" s="29" t="s">
        <v>188</v>
      </c>
      <c r="N2" s="29"/>
      <c r="O2" s="34">
        <v>23817</v>
      </c>
      <c r="P2" s="35">
        <f ca="1">(TODAY()-O2)/365</f>
        <v>61.31232876712329</v>
      </c>
      <c r="Q2" s="29" t="s">
        <v>144</v>
      </c>
      <c r="R2" s="29" t="s">
        <v>107</v>
      </c>
      <c r="S2" s="29" t="s">
        <v>345</v>
      </c>
      <c r="T2" s="33" t="s">
        <v>271</v>
      </c>
      <c r="U2" s="29" t="s">
        <v>1070</v>
      </c>
      <c r="V2" s="36" t="s">
        <v>887</v>
      </c>
      <c r="W2" s="101"/>
      <c r="X2" s="91" t="s">
        <v>903</v>
      </c>
      <c r="Y2" s="92"/>
      <c r="Z2" s="93"/>
      <c r="AA2" s="149">
        <v>44019</v>
      </c>
      <c r="AB2" s="146">
        <v>46033</v>
      </c>
      <c r="AC2" s="152" t="s">
        <v>674</v>
      </c>
    </row>
    <row r="3" spans="1:29" s="2" customFormat="1" ht="20.100000000000001" customHeight="1">
      <c r="A3" s="26">
        <f ca="1">IF(P3&lt;"",ROW()-1,"")</f>
        <v>2</v>
      </c>
      <c r="B3" s="42">
        <f>IF(ISBLANK(D3),0,IF(F3&lt;&gt;F2,1,1+B2))</f>
        <v>2</v>
      </c>
      <c r="C3" s="27" t="s">
        <v>717</v>
      </c>
      <c r="D3" s="109">
        <v>24022394</v>
      </c>
      <c r="E3" s="27" t="s">
        <v>82</v>
      </c>
      <c r="F3" s="29" t="s">
        <v>260</v>
      </c>
      <c r="G3" s="49" t="s">
        <v>14</v>
      </c>
      <c r="H3" s="43" t="s">
        <v>947</v>
      </c>
      <c r="I3" s="49" t="s">
        <v>909</v>
      </c>
      <c r="J3" s="43"/>
      <c r="K3" s="39" t="s">
        <v>32</v>
      </c>
      <c r="L3" s="37" t="s">
        <v>718</v>
      </c>
      <c r="M3" s="29" t="s">
        <v>719</v>
      </c>
      <c r="N3" s="29"/>
      <c r="O3" s="34">
        <v>25063</v>
      </c>
      <c r="P3" s="35">
        <f ca="1">(TODAY()-O3)/365</f>
        <v>57.898630136986299</v>
      </c>
      <c r="Q3" s="29" t="s">
        <v>15</v>
      </c>
      <c r="R3" s="29" t="s">
        <v>720</v>
      </c>
      <c r="S3" s="29" t="s">
        <v>587</v>
      </c>
      <c r="T3" s="115" t="s">
        <v>721</v>
      </c>
      <c r="U3" s="33" t="s">
        <v>803</v>
      </c>
      <c r="V3" s="36" t="s">
        <v>722</v>
      </c>
      <c r="W3" s="101"/>
      <c r="X3" s="91"/>
      <c r="Y3" s="92" t="s">
        <v>903</v>
      </c>
      <c r="Z3" s="93"/>
      <c r="AA3" s="149">
        <v>45916</v>
      </c>
      <c r="AB3" s="146">
        <v>46071</v>
      </c>
      <c r="AC3" s="152" t="s">
        <v>674</v>
      </c>
    </row>
    <row r="4" spans="1:29" ht="20.100000000000001" customHeight="1">
      <c r="A4" s="26">
        <f ca="1">IF(P4&lt;"",ROW()-1,"")</f>
        <v>3</v>
      </c>
      <c r="B4" s="114">
        <f>IF(ISBLANK(D4),0,IF(F4&lt;&gt;F3,1,1+B3))</f>
        <v>3</v>
      </c>
      <c r="C4" s="27" t="s">
        <v>651</v>
      </c>
      <c r="D4" s="109">
        <v>317258010</v>
      </c>
      <c r="E4" s="28" t="s">
        <v>82</v>
      </c>
      <c r="F4" s="29" t="s">
        <v>260</v>
      </c>
      <c r="G4" s="30" t="s">
        <v>22</v>
      </c>
      <c r="H4" s="31" t="s">
        <v>987</v>
      </c>
      <c r="I4" s="30" t="s">
        <v>936</v>
      </c>
      <c r="J4" s="31" t="s">
        <v>190</v>
      </c>
      <c r="K4" s="30" t="s">
        <v>32</v>
      </c>
      <c r="L4" s="37" t="s">
        <v>174</v>
      </c>
      <c r="M4" s="29" t="s">
        <v>175</v>
      </c>
      <c r="N4" s="29"/>
      <c r="O4" s="34">
        <v>22898</v>
      </c>
      <c r="P4" s="35">
        <f ca="1">(TODAY()-O4)/365</f>
        <v>63.830136986301369</v>
      </c>
      <c r="Q4" s="29" t="s">
        <v>20</v>
      </c>
      <c r="R4" s="29" t="s">
        <v>347</v>
      </c>
      <c r="S4" s="29" t="s">
        <v>18</v>
      </c>
      <c r="T4" s="33" t="s">
        <v>346</v>
      </c>
      <c r="U4" s="29" t="s">
        <v>879</v>
      </c>
      <c r="V4" s="36" t="s">
        <v>742</v>
      </c>
      <c r="W4" s="101"/>
      <c r="X4" s="91"/>
      <c r="Y4" s="92" t="s">
        <v>903</v>
      </c>
      <c r="Z4" s="93"/>
      <c r="AA4" s="149">
        <v>43538</v>
      </c>
      <c r="AB4" s="146">
        <v>46147</v>
      </c>
      <c r="AC4" s="152" t="s">
        <v>674</v>
      </c>
    </row>
    <row r="5" spans="1:29" s="3" customFormat="1" ht="20.100000000000001" customHeight="1">
      <c r="A5" s="26">
        <f ca="1">IF(P5&lt;"",ROW()-1,"")</f>
        <v>4</v>
      </c>
      <c r="B5" s="114">
        <f>IF(ISBLANK(D5),0,IF(F5&lt;&gt;F4,1,1+B4))</f>
        <v>4</v>
      </c>
      <c r="C5" s="116" t="s">
        <v>618</v>
      </c>
      <c r="D5" s="117">
        <v>346655186</v>
      </c>
      <c r="E5" s="27" t="s">
        <v>82</v>
      </c>
      <c r="F5" s="29" t="s">
        <v>260</v>
      </c>
      <c r="G5" s="118" t="s">
        <v>22</v>
      </c>
      <c r="H5" s="119" t="s">
        <v>1029</v>
      </c>
      <c r="I5" s="118" t="s">
        <v>1030</v>
      </c>
      <c r="J5" s="120"/>
      <c r="K5" s="39" t="s">
        <v>32</v>
      </c>
      <c r="L5" s="121" t="s">
        <v>619</v>
      </c>
      <c r="M5" s="29" t="s">
        <v>622</v>
      </c>
      <c r="N5" s="122"/>
      <c r="O5" s="34">
        <v>30580</v>
      </c>
      <c r="P5" s="123">
        <f ca="1">IF(O5=0,0,(TODAY()-O5)/365)</f>
        <v>42.783561643835618</v>
      </c>
      <c r="Q5" s="122" t="s">
        <v>46</v>
      </c>
      <c r="R5" s="29" t="s">
        <v>46</v>
      </c>
      <c r="S5" s="122" t="s">
        <v>621</v>
      </c>
      <c r="T5" s="33" t="s">
        <v>620</v>
      </c>
      <c r="U5" s="122"/>
      <c r="V5" s="125"/>
      <c r="W5" s="102" t="s">
        <v>1023</v>
      </c>
      <c r="X5" s="91"/>
      <c r="Y5" s="92" t="s">
        <v>903</v>
      </c>
      <c r="Z5" s="93"/>
      <c r="AA5" s="149">
        <v>45466</v>
      </c>
      <c r="AB5" s="146">
        <v>46147</v>
      </c>
      <c r="AC5" s="152" t="s">
        <v>674</v>
      </c>
    </row>
    <row r="6" spans="1:29" ht="20.100000000000001" customHeight="1">
      <c r="A6" s="26">
        <f ca="1">IF(P6&lt;"",ROW()-1,"")</f>
        <v>5</v>
      </c>
      <c r="B6" s="42">
        <f>IF(ISBLANK(D6),0,IF(F6&lt;&gt;F5,1,1+B5))</f>
        <v>5</v>
      </c>
      <c r="C6" s="27" t="s">
        <v>553</v>
      </c>
      <c r="D6" s="109">
        <v>28838944</v>
      </c>
      <c r="E6" s="27" t="s">
        <v>82</v>
      </c>
      <c r="F6" s="29" t="s">
        <v>260</v>
      </c>
      <c r="G6" s="30" t="s">
        <v>14</v>
      </c>
      <c r="H6" s="31" t="s">
        <v>988</v>
      </c>
      <c r="I6" s="30" t="s">
        <v>920</v>
      </c>
      <c r="J6" s="43"/>
      <c r="K6" s="39" t="s">
        <v>32</v>
      </c>
      <c r="L6" s="37" t="s">
        <v>623</v>
      </c>
      <c r="M6" s="29" t="s">
        <v>554</v>
      </c>
      <c r="N6" s="29"/>
      <c r="O6" s="34">
        <v>26221</v>
      </c>
      <c r="P6" s="35">
        <f ca="1">(TODAY()-O6)/365</f>
        <v>54.726027397260275</v>
      </c>
      <c r="Q6" s="29" t="s">
        <v>26</v>
      </c>
      <c r="R6" s="29" t="s">
        <v>555</v>
      </c>
      <c r="S6" s="29" t="s">
        <v>556</v>
      </c>
      <c r="T6" s="33" t="s">
        <v>567</v>
      </c>
      <c r="U6" s="1" t="s">
        <v>1071</v>
      </c>
      <c r="V6" s="36" t="s">
        <v>1072</v>
      </c>
      <c r="W6" s="101"/>
      <c r="X6" s="91"/>
      <c r="Y6" s="92" t="s">
        <v>903</v>
      </c>
      <c r="Z6" s="93"/>
      <c r="AA6" s="149">
        <v>45081</v>
      </c>
      <c r="AB6" s="146">
        <v>46124</v>
      </c>
      <c r="AC6" s="152" t="s">
        <v>672</v>
      </c>
    </row>
    <row r="7" spans="1:29" s="2" customFormat="1" ht="20.100000000000001" customHeight="1">
      <c r="A7" s="26">
        <f ca="1">IF(P7&lt;"",ROW()-1,"")</f>
        <v>6</v>
      </c>
      <c r="B7" s="114">
        <f>IF(ISBLANK(D7),0,IF(F7&lt;&gt;F6,1,1+B6))</f>
        <v>6</v>
      </c>
      <c r="C7" s="116" t="s">
        <v>804</v>
      </c>
      <c r="D7" s="117">
        <v>15530058</v>
      </c>
      <c r="E7" s="27" t="s">
        <v>82</v>
      </c>
      <c r="F7" s="29" t="s">
        <v>260</v>
      </c>
      <c r="G7" s="30" t="s">
        <v>22</v>
      </c>
      <c r="H7" s="31" t="s">
        <v>1037</v>
      </c>
      <c r="I7" s="30" t="s">
        <v>997</v>
      </c>
      <c r="J7" s="120"/>
      <c r="K7" s="30" t="s">
        <v>32</v>
      </c>
      <c r="L7" s="37" t="s">
        <v>705</v>
      </c>
      <c r="M7" s="29" t="s">
        <v>706</v>
      </c>
      <c r="N7" s="122"/>
      <c r="O7" s="126">
        <v>22266</v>
      </c>
      <c r="P7" s="123">
        <f ca="1">(TODAY()-O7)/365</f>
        <v>65.561643835616437</v>
      </c>
      <c r="Q7" s="29" t="s">
        <v>144</v>
      </c>
      <c r="R7" s="122" t="s">
        <v>60</v>
      </c>
      <c r="S7" s="122" t="s">
        <v>28</v>
      </c>
      <c r="T7" s="33" t="s">
        <v>707</v>
      </c>
      <c r="U7" s="122" t="s">
        <v>800</v>
      </c>
      <c r="V7" s="127" t="s">
        <v>799</v>
      </c>
      <c r="W7" s="101" t="s">
        <v>1023</v>
      </c>
      <c r="X7" s="128" t="s">
        <v>903</v>
      </c>
      <c r="Y7" s="129"/>
      <c r="Z7" s="130"/>
      <c r="AA7" s="149">
        <v>45809</v>
      </c>
      <c r="AB7" s="146">
        <v>46155</v>
      </c>
      <c r="AC7" s="154" t="s">
        <v>674</v>
      </c>
    </row>
    <row r="8" spans="1:29" s="2" customFormat="1" ht="20.100000000000001" customHeight="1">
      <c r="A8" s="26">
        <f ca="1">IF(P8&lt;"",ROW()-1,"")</f>
        <v>7</v>
      </c>
      <c r="B8" s="42">
        <f>IF(ISBLANK(D8),0,IF(F8&lt;&gt;F7,1,1+B7))</f>
        <v>7</v>
      </c>
      <c r="C8" s="27" t="s">
        <v>228</v>
      </c>
      <c r="D8" s="109">
        <v>323216747</v>
      </c>
      <c r="E8" s="28" t="s">
        <v>82</v>
      </c>
      <c r="F8" s="29" t="s">
        <v>260</v>
      </c>
      <c r="G8" s="30" t="s">
        <v>14</v>
      </c>
      <c r="H8" s="31" t="s">
        <v>989</v>
      </c>
      <c r="I8" s="30" t="s">
        <v>938</v>
      </c>
      <c r="J8" s="31"/>
      <c r="K8" s="30" t="s">
        <v>32</v>
      </c>
      <c r="L8" s="37" t="s">
        <v>237</v>
      </c>
      <c r="M8" s="29" t="s">
        <v>291</v>
      </c>
      <c r="N8" s="29" t="s">
        <v>299</v>
      </c>
      <c r="O8" s="34">
        <v>27408</v>
      </c>
      <c r="P8" s="35">
        <f ca="1">(TODAY()-O8)/365</f>
        <v>51.473972602739728</v>
      </c>
      <c r="Q8" s="29" t="s">
        <v>46</v>
      </c>
      <c r="R8" s="29" t="s">
        <v>247</v>
      </c>
      <c r="S8" s="29" t="s">
        <v>46</v>
      </c>
      <c r="T8" s="33" t="s">
        <v>296</v>
      </c>
      <c r="U8" s="29" t="s">
        <v>1104</v>
      </c>
      <c r="V8" s="36" t="s">
        <v>1040</v>
      </c>
      <c r="W8" s="101"/>
      <c r="X8" s="91"/>
      <c r="Y8" s="92"/>
      <c r="Z8" s="93" t="s">
        <v>903</v>
      </c>
      <c r="AA8" s="149">
        <v>41640</v>
      </c>
      <c r="AB8" s="146">
        <v>46155</v>
      </c>
      <c r="AC8" s="152" t="s">
        <v>672</v>
      </c>
    </row>
    <row r="9" spans="1:29" s="4" customFormat="1" ht="20.100000000000001" customHeight="1">
      <c r="A9" s="26">
        <f ca="1">IF(P9&lt;"",ROW()-1,"")</f>
        <v>8</v>
      </c>
      <c r="B9" s="42">
        <f>IF(ISBLANK(D9),0,IF(F9&lt;&gt;F8,1,1+B8))</f>
        <v>8</v>
      </c>
      <c r="C9" s="27" t="s">
        <v>374</v>
      </c>
      <c r="D9" s="109">
        <v>304365133</v>
      </c>
      <c r="E9" s="28" t="s">
        <v>82</v>
      </c>
      <c r="F9" s="29" t="s">
        <v>260</v>
      </c>
      <c r="G9" s="30" t="s">
        <v>14</v>
      </c>
      <c r="H9" s="31" t="s">
        <v>1034</v>
      </c>
      <c r="I9" s="30" t="s">
        <v>909</v>
      </c>
      <c r="J9" s="31"/>
      <c r="K9" s="30" t="s">
        <v>32</v>
      </c>
      <c r="L9" s="37" t="s">
        <v>238</v>
      </c>
      <c r="M9" s="29" t="s">
        <v>279</v>
      </c>
      <c r="N9" s="29"/>
      <c r="O9" s="34">
        <v>28050</v>
      </c>
      <c r="P9" s="35">
        <f ca="1">(TODAY()-O9)/365</f>
        <v>49.715068493150682</v>
      </c>
      <c r="Q9" s="29" t="s">
        <v>20</v>
      </c>
      <c r="R9" s="29" t="s">
        <v>131</v>
      </c>
      <c r="S9" s="29" t="s">
        <v>24</v>
      </c>
      <c r="T9" s="33" t="s">
        <v>269</v>
      </c>
      <c r="U9" s="29" t="s">
        <v>120</v>
      </c>
      <c r="V9" s="36" t="s">
        <v>766</v>
      </c>
      <c r="W9" s="101"/>
      <c r="X9" s="91"/>
      <c r="Y9" s="92" t="s">
        <v>903</v>
      </c>
      <c r="Z9" s="93"/>
      <c r="AA9" s="149">
        <v>42352</v>
      </c>
      <c r="AB9" s="146">
        <v>46128</v>
      </c>
      <c r="AC9" s="152" t="s">
        <v>674</v>
      </c>
    </row>
    <row r="10" spans="1:29" ht="20.100000000000001" customHeight="1">
      <c r="A10" s="26">
        <f ca="1">IF(P10&lt;"",ROW()-1,"")</f>
        <v>9</v>
      </c>
      <c r="B10" s="114">
        <f>IF(ISBLANK(D10),0,IF(F10&lt;&gt;F9,1,1+B9))</f>
        <v>9</v>
      </c>
      <c r="C10" s="27" t="s">
        <v>395</v>
      </c>
      <c r="D10" s="109">
        <v>36469930</v>
      </c>
      <c r="E10" s="28" t="s">
        <v>82</v>
      </c>
      <c r="F10" s="29" t="s">
        <v>260</v>
      </c>
      <c r="G10" s="39" t="s">
        <v>14</v>
      </c>
      <c r="H10" s="51" t="s">
        <v>990</v>
      </c>
      <c r="I10" s="39" t="s">
        <v>938</v>
      </c>
      <c r="J10" s="31" t="s">
        <v>25</v>
      </c>
      <c r="K10" s="30" t="s">
        <v>32</v>
      </c>
      <c r="L10" s="37" t="s">
        <v>361</v>
      </c>
      <c r="M10" s="29" t="s">
        <v>218</v>
      </c>
      <c r="N10" s="29" t="s">
        <v>305</v>
      </c>
      <c r="O10" s="34">
        <v>28888</v>
      </c>
      <c r="P10" s="35">
        <f ca="1">(TODAY()-O10)/365</f>
        <v>47.419178082191777</v>
      </c>
      <c r="Q10" s="29" t="s">
        <v>144</v>
      </c>
      <c r="R10" s="29" t="s">
        <v>460</v>
      </c>
      <c r="S10" s="29" t="s">
        <v>24</v>
      </c>
      <c r="T10" s="33" t="s">
        <v>371</v>
      </c>
      <c r="U10" s="29" t="s">
        <v>864</v>
      </c>
      <c r="V10" s="36" t="s">
        <v>862</v>
      </c>
      <c r="W10" s="101"/>
      <c r="X10" s="91"/>
      <c r="Y10" s="92" t="s">
        <v>903</v>
      </c>
      <c r="Z10" s="93"/>
      <c r="AA10" s="149">
        <v>41640</v>
      </c>
      <c r="AB10" s="146">
        <v>46143</v>
      </c>
      <c r="AC10" s="152" t="s">
        <v>672</v>
      </c>
    </row>
    <row r="11" spans="1:29" ht="20.100000000000001" customHeight="1">
      <c r="A11" s="26">
        <f ca="1">IF(P11&lt;"",ROW()-1,"")</f>
        <v>10</v>
      </c>
      <c r="B11" s="114">
        <f>IF(ISBLANK(D11),0,IF(F11&lt;&gt;F10,1,1+B10))</f>
        <v>10</v>
      </c>
      <c r="C11" s="27" t="s">
        <v>229</v>
      </c>
      <c r="D11" s="109">
        <v>23705726</v>
      </c>
      <c r="E11" s="28" t="s">
        <v>82</v>
      </c>
      <c r="F11" s="29" t="s">
        <v>260</v>
      </c>
      <c r="G11" s="39" t="s">
        <v>14</v>
      </c>
      <c r="H11" s="51" t="s">
        <v>967</v>
      </c>
      <c r="I11" s="39" t="s">
        <v>909</v>
      </c>
      <c r="J11" s="31"/>
      <c r="K11" s="30" t="s">
        <v>32</v>
      </c>
      <c r="L11" s="32" t="s">
        <v>334</v>
      </c>
      <c r="M11" s="29" t="s">
        <v>264</v>
      </c>
      <c r="N11" s="29" t="s">
        <v>301</v>
      </c>
      <c r="O11" s="34">
        <v>25000</v>
      </c>
      <c r="P11" s="35">
        <f ca="1">(TODAY()-O11)/365</f>
        <v>58.07123287671233</v>
      </c>
      <c r="Q11" s="29" t="s">
        <v>245</v>
      </c>
      <c r="R11" s="29" t="s">
        <v>248</v>
      </c>
      <c r="S11" s="29" t="s">
        <v>144</v>
      </c>
      <c r="T11" s="33" t="s">
        <v>264</v>
      </c>
      <c r="U11" s="29" t="s">
        <v>1070</v>
      </c>
      <c r="V11" s="36" t="s">
        <v>887</v>
      </c>
      <c r="W11" s="101"/>
      <c r="X11" s="91"/>
      <c r="Y11" s="92" t="s">
        <v>903</v>
      </c>
      <c r="Z11" s="93"/>
      <c r="AA11" s="149">
        <v>42554</v>
      </c>
      <c r="AB11" s="146">
        <v>46156</v>
      </c>
      <c r="AC11" s="152" t="s">
        <v>672</v>
      </c>
    </row>
    <row r="12" spans="1:29" ht="20.100000000000001" customHeight="1">
      <c r="A12" s="26">
        <f ca="1">IF(P12&lt;"",ROW()-1,"")</f>
        <v>11</v>
      </c>
      <c r="B12" s="42">
        <f>IF(ISBLANK(D12),0,IF(F12&lt;&gt;F11,1,1+B11))</f>
        <v>11</v>
      </c>
      <c r="C12" s="27" t="s">
        <v>373</v>
      </c>
      <c r="D12" s="109">
        <v>310107594</v>
      </c>
      <c r="E12" s="28" t="s">
        <v>82</v>
      </c>
      <c r="F12" s="29" t="s">
        <v>260</v>
      </c>
      <c r="G12" s="30" t="s">
        <v>14</v>
      </c>
      <c r="H12" s="31" t="s">
        <v>972</v>
      </c>
      <c r="I12" s="30" t="s">
        <v>979</v>
      </c>
      <c r="J12" s="31"/>
      <c r="K12" s="30" t="s">
        <v>32</v>
      </c>
      <c r="L12" s="37" t="s">
        <v>178</v>
      </c>
      <c r="M12" s="29" t="s">
        <v>179</v>
      </c>
      <c r="N12" s="29"/>
      <c r="O12" s="34">
        <v>27912</v>
      </c>
      <c r="P12" s="35">
        <f ca="1">(TODAY()-O12)/365</f>
        <v>50.093150684931508</v>
      </c>
      <c r="Q12" s="29" t="s">
        <v>23</v>
      </c>
      <c r="R12" s="29" t="s">
        <v>353</v>
      </c>
      <c r="S12" s="29" t="s">
        <v>24</v>
      </c>
      <c r="T12" s="33" t="s">
        <v>275</v>
      </c>
      <c r="U12" s="29"/>
      <c r="V12" s="36"/>
      <c r="W12" s="101" t="s">
        <v>1023</v>
      </c>
      <c r="X12" s="91" t="s">
        <v>903</v>
      </c>
      <c r="Y12" s="92"/>
      <c r="Z12" s="93"/>
      <c r="AA12" s="149">
        <v>41640</v>
      </c>
      <c r="AB12" s="146">
        <v>46110</v>
      </c>
      <c r="AC12" s="152" t="s">
        <v>674</v>
      </c>
    </row>
    <row r="13" spans="1:29" ht="20.100000000000001" customHeight="1">
      <c r="A13" s="26">
        <f>IF(P13&lt;"",ROW()-1,"")</f>
        <v>12</v>
      </c>
      <c r="B13" s="42">
        <f>IF(ISBLANK(D13),0,IF(F13&lt;&gt;F12,1,1+B12))</f>
        <v>12</v>
      </c>
      <c r="C13" s="116" t="s">
        <v>516</v>
      </c>
      <c r="D13" s="117">
        <v>321969669</v>
      </c>
      <c r="E13" s="116" t="s">
        <v>82</v>
      </c>
      <c r="F13" s="29" t="s">
        <v>260</v>
      </c>
      <c r="G13" s="131" t="s">
        <v>22</v>
      </c>
      <c r="H13" s="132" t="s">
        <v>1038</v>
      </c>
      <c r="I13" s="131" t="s">
        <v>936</v>
      </c>
      <c r="J13" s="133"/>
      <c r="K13" s="134" t="s">
        <v>32</v>
      </c>
      <c r="L13" s="135" t="s">
        <v>517</v>
      </c>
      <c r="M13" s="122" t="s">
        <v>840</v>
      </c>
      <c r="N13" s="122" t="s">
        <v>519</v>
      </c>
      <c r="O13" s="126">
        <v>24805</v>
      </c>
      <c r="P13" s="123">
        <v>57.095890410958901</v>
      </c>
      <c r="Q13" s="122" t="s">
        <v>20</v>
      </c>
      <c r="R13" s="122" t="s">
        <v>521</v>
      </c>
      <c r="S13" s="122" t="s">
        <v>520</v>
      </c>
      <c r="T13" s="124" t="s">
        <v>522</v>
      </c>
      <c r="U13" s="29" t="s">
        <v>821</v>
      </c>
      <c r="V13" s="36" t="s">
        <v>822</v>
      </c>
      <c r="W13" s="101"/>
      <c r="X13" s="128"/>
      <c r="Y13" s="129" t="s">
        <v>903</v>
      </c>
      <c r="Z13" s="130"/>
      <c r="AA13" s="149">
        <v>45984</v>
      </c>
      <c r="AB13" s="146">
        <v>46167</v>
      </c>
      <c r="AC13" s="154" t="s">
        <v>674</v>
      </c>
    </row>
    <row r="14" spans="1:29" ht="20.100000000000001" customHeight="1">
      <c r="A14" s="26">
        <f ca="1">IF(P14&lt;"",ROW()-1,"")</f>
        <v>13</v>
      </c>
      <c r="B14" s="42">
        <f>IF(ISBLANK(D14),0,IF(F14&lt;&gt;F13,1,1+B13))</f>
        <v>13</v>
      </c>
      <c r="C14" s="27" t="s">
        <v>191</v>
      </c>
      <c r="D14" s="109">
        <v>321320046</v>
      </c>
      <c r="E14" s="28" t="s">
        <v>82</v>
      </c>
      <c r="F14" s="29" t="s">
        <v>260</v>
      </c>
      <c r="G14" s="30" t="s">
        <v>22</v>
      </c>
      <c r="H14" s="31" t="s">
        <v>1033</v>
      </c>
      <c r="I14" s="30" t="s">
        <v>936</v>
      </c>
      <c r="J14" s="31"/>
      <c r="K14" s="30" t="s">
        <v>32</v>
      </c>
      <c r="L14" s="37" t="s">
        <v>180</v>
      </c>
      <c r="M14" s="29" t="s">
        <v>225</v>
      </c>
      <c r="N14" s="29"/>
      <c r="O14" s="34">
        <v>23514</v>
      </c>
      <c r="P14" s="35">
        <f ca="1">(TODAY()-O14)/365</f>
        <v>62.142465753424659</v>
      </c>
      <c r="Q14" s="29" t="s">
        <v>17</v>
      </c>
      <c r="R14" s="29" t="s">
        <v>120</v>
      </c>
      <c r="S14" s="29" t="s">
        <v>21</v>
      </c>
      <c r="T14" s="48" t="s">
        <v>1031</v>
      </c>
      <c r="U14" s="29"/>
      <c r="V14" s="36"/>
      <c r="W14" s="101" t="s">
        <v>1023</v>
      </c>
      <c r="X14" s="91"/>
      <c r="Y14" s="92"/>
      <c r="Z14" s="93"/>
      <c r="AA14" s="149">
        <v>41640</v>
      </c>
      <c r="AB14" s="146">
        <v>46037</v>
      </c>
      <c r="AC14" s="152" t="s">
        <v>672</v>
      </c>
    </row>
    <row r="15" spans="1:29" ht="20.100000000000001" customHeight="1">
      <c r="A15" s="26">
        <f ca="1">IF(P15&lt;"",ROW()-1,"")</f>
        <v>14</v>
      </c>
      <c r="B15" s="114">
        <f>IF(ISBLANK(D15),0,IF(F15&lt;&gt;F14,1,1+B14))</f>
        <v>14</v>
      </c>
      <c r="C15" s="27" t="s">
        <v>230</v>
      </c>
      <c r="D15" s="109">
        <v>22056840</v>
      </c>
      <c r="E15" s="28" t="s">
        <v>82</v>
      </c>
      <c r="F15" s="29" t="s">
        <v>260</v>
      </c>
      <c r="G15" s="30" t="s">
        <v>14</v>
      </c>
      <c r="H15" s="31" t="s">
        <v>1035</v>
      </c>
      <c r="I15" s="30" t="s">
        <v>991</v>
      </c>
      <c r="J15" s="31"/>
      <c r="K15" s="30" t="s">
        <v>32</v>
      </c>
      <c r="L15" s="37" t="s">
        <v>239</v>
      </c>
      <c r="M15" s="29" t="s">
        <v>280</v>
      </c>
      <c r="N15" s="29" t="s">
        <v>302</v>
      </c>
      <c r="O15" s="34">
        <v>24021</v>
      </c>
      <c r="P15" s="35">
        <f ca="1">(TODAY()-O15)/365</f>
        <v>60.753424657534246</v>
      </c>
      <c r="Q15" s="29" t="s">
        <v>23</v>
      </c>
      <c r="R15" s="29" t="s">
        <v>249</v>
      </c>
      <c r="S15" s="29" t="s">
        <v>24</v>
      </c>
      <c r="T15" s="33" t="s">
        <v>266</v>
      </c>
      <c r="U15" s="29" t="s">
        <v>564</v>
      </c>
      <c r="V15" s="36" t="s">
        <v>565</v>
      </c>
      <c r="W15" s="101"/>
      <c r="X15" s="91"/>
      <c r="Y15" s="92" t="s">
        <v>903</v>
      </c>
      <c r="Z15" s="93"/>
      <c r="AA15" s="149">
        <v>41640</v>
      </c>
      <c r="AB15" s="146">
        <v>46047</v>
      </c>
      <c r="AC15" s="152" t="s">
        <v>672</v>
      </c>
    </row>
    <row r="16" spans="1:29" ht="20.100000000000001" customHeight="1">
      <c r="A16" s="26">
        <f ca="1">IF(P16&lt;"",ROW()-1,"")</f>
        <v>15</v>
      </c>
      <c r="B16" s="42">
        <f>IF(ISBLANK(D16),0,IF(F16&lt;&gt;F15,1,1+B15))</f>
        <v>15</v>
      </c>
      <c r="C16" s="27" t="s">
        <v>383</v>
      </c>
      <c r="D16" s="109">
        <v>14759096</v>
      </c>
      <c r="E16" s="28" t="s">
        <v>82</v>
      </c>
      <c r="F16" s="29" t="s">
        <v>260</v>
      </c>
      <c r="G16" s="30" t="s">
        <v>14</v>
      </c>
      <c r="H16" s="31" t="s">
        <v>1043</v>
      </c>
      <c r="I16" s="30" t="s">
        <v>1044</v>
      </c>
      <c r="J16" s="31" t="s">
        <v>90</v>
      </c>
      <c r="K16" s="30" t="s">
        <v>32</v>
      </c>
      <c r="L16" s="37" t="s">
        <v>181</v>
      </c>
      <c r="M16" s="29" t="s">
        <v>848</v>
      </c>
      <c r="N16" s="29" t="s">
        <v>723</v>
      </c>
      <c r="O16" s="34">
        <v>26390</v>
      </c>
      <c r="P16" s="35">
        <f ca="1">(TODAY()-O16)/365</f>
        <v>54.263013698630139</v>
      </c>
      <c r="Q16" s="29" t="s">
        <v>20</v>
      </c>
      <c r="R16" s="29" t="s">
        <v>454</v>
      </c>
      <c r="S16" s="29" t="s">
        <v>21</v>
      </c>
      <c r="T16" s="33" t="s">
        <v>664</v>
      </c>
      <c r="U16" s="29"/>
      <c r="V16" s="36"/>
      <c r="W16" s="101" t="s">
        <v>1023</v>
      </c>
      <c r="X16" s="91"/>
      <c r="Y16" s="92" t="s">
        <v>903</v>
      </c>
      <c r="Z16" s="93"/>
      <c r="AA16" s="149">
        <v>41640</v>
      </c>
      <c r="AB16" s="146">
        <v>46078</v>
      </c>
      <c r="AC16" s="152" t="s">
        <v>674</v>
      </c>
    </row>
    <row r="17" spans="1:29" ht="20.100000000000001" customHeight="1">
      <c r="A17" s="26">
        <f ca="1">IF(P17&lt;"",ROW()-1,"")</f>
        <v>16</v>
      </c>
      <c r="B17" s="42">
        <f>IF(ISBLANK(D17),0,IF(F17&lt;&gt;F16,1,1+B16))</f>
        <v>16</v>
      </c>
      <c r="C17" s="27" t="s">
        <v>376</v>
      </c>
      <c r="D17" s="109">
        <v>300129525</v>
      </c>
      <c r="E17" s="28" t="s">
        <v>82</v>
      </c>
      <c r="F17" s="29" t="s">
        <v>260</v>
      </c>
      <c r="G17" s="30" t="s">
        <v>14</v>
      </c>
      <c r="H17" s="31" t="s">
        <v>967</v>
      </c>
      <c r="I17" s="30" t="s">
        <v>909</v>
      </c>
      <c r="J17" s="31"/>
      <c r="K17" s="30" t="s">
        <v>32</v>
      </c>
      <c r="L17" s="32" t="s">
        <v>334</v>
      </c>
      <c r="M17" s="29" t="s">
        <v>342</v>
      </c>
      <c r="N17" s="29"/>
      <c r="O17" s="34">
        <v>31692</v>
      </c>
      <c r="P17" s="35">
        <f ca="1">(TODAY()-O17)/365</f>
        <v>39.736986301369861</v>
      </c>
      <c r="Q17" s="29" t="s">
        <v>144</v>
      </c>
      <c r="R17" s="29" t="s">
        <v>764</v>
      </c>
      <c r="S17" s="29" t="s">
        <v>345</v>
      </c>
      <c r="T17" s="33">
        <v>545888171</v>
      </c>
      <c r="U17" s="29" t="s">
        <v>1070</v>
      </c>
      <c r="V17" s="36" t="s">
        <v>887</v>
      </c>
      <c r="W17" s="101"/>
      <c r="X17" s="91" t="s">
        <v>903</v>
      </c>
      <c r="Y17" s="92"/>
      <c r="Z17" s="93"/>
      <c r="AA17" s="149">
        <v>44305</v>
      </c>
      <c r="AB17" s="146">
        <v>45526</v>
      </c>
      <c r="AC17" s="152" t="s">
        <v>674</v>
      </c>
    </row>
    <row r="18" spans="1:29" ht="20.100000000000001" customHeight="1">
      <c r="A18" s="26">
        <f ca="1">IF(P18&lt;"",ROW()-1,"")</f>
        <v>17</v>
      </c>
      <c r="B18" s="42">
        <f>IF(ISBLANK(D18),0,IF(F18&lt;&gt;F17,1,1+B17))</f>
        <v>17</v>
      </c>
      <c r="C18" s="27" t="s">
        <v>375</v>
      </c>
      <c r="D18" s="109">
        <v>312814213</v>
      </c>
      <c r="E18" s="28" t="s">
        <v>82</v>
      </c>
      <c r="F18" s="29" t="s">
        <v>260</v>
      </c>
      <c r="G18" s="30" t="s">
        <v>22</v>
      </c>
      <c r="H18" s="31" t="s">
        <v>992</v>
      </c>
      <c r="I18" s="30" t="s">
        <v>993</v>
      </c>
      <c r="J18" s="31"/>
      <c r="K18" s="30" t="s">
        <v>32</v>
      </c>
      <c r="L18" s="37" t="s">
        <v>186</v>
      </c>
      <c r="M18" s="29" t="s">
        <v>187</v>
      </c>
      <c r="N18" s="29"/>
      <c r="O18" s="34">
        <v>20938</v>
      </c>
      <c r="P18" s="35">
        <f ca="1">(TODAY()-O18)/365</f>
        <v>69.2</v>
      </c>
      <c r="Q18" s="29" t="s">
        <v>20</v>
      </c>
      <c r="R18" s="29" t="s">
        <v>321</v>
      </c>
      <c r="S18" s="29" t="s">
        <v>18</v>
      </c>
      <c r="T18" s="33" t="s">
        <v>349</v>
      </c>
      <c r="U18" s="29" t="s">
        <v>764</v>
      </c>
      <c r="V18" s="36" t="s">
        <v>887</v>
      </c>
      <c r="W18" s="101" t="s">
        <v>1023</v>
      </c>
      <c r="X18" s="91"/>
      <c r="Y18" s="92" t="s">
        <v>903</v>
      </c>
      <c r="Z18" s="93"/>
      <c r="AA18" s="149">
        <v>43709</v>
      </c>
      <c r="AB18" s="146">
        <v>45063</v>
      </c>
      <c r="AC18" s="152" t="s">
        <v>672</v>
      </c>
    </row>
    <row r="19" spans="1:29" ht="20.100000000000001" customHeight="1">
      <c r="A19" s="26">
        <f ca="1">IF(P19&lt;"",ROW()-1,"")</f>
        <v>18</v>
      </c>
      <c r="B19" s="42">
        <f>IF(ISBLANK(D19),0,IF(F19&lt;&gt;F18,1,1+B18))</f>
        <v>18</v>
      </c>
      <c r="C19" s="27" t="s">
        <v>511</v>
      </c>
      <c r="D19" s="109">
        <v>320601834</v>
      </c>
      <c r="E19" s="28" t="s">
        <v>82</v>
      </c>
      <c r="F19" s="29" t="s">
        <v>260</v>
      </c>
      <c r="G19" s="49" t="s">
        <v>22</v>
      </c>
      <c r="H19" s="43" t="s">
        <v>1036</v>
      </c>
      <c r="I19" s="49" t="s">
        <v>936</v>
      </c>
      <c r="J19" s="43"/>
      <c r="K19" s="30" t="s">
        <v>32</v>
      </c>
      <c r="L19" s="50" t="s">
        <v>851</v>
      </c>
      <c r="M19" s="29" t="s">
        <v>497</v>
      </c>
      <c r="N19" s="29"/>
      <c r="O19" s="34">
        <v>24355</v>
      </c>
      <c r="P19" s="35">
        <f ca="1">(TODAY()-O19)/365</f>
        <v>59.838356164383562</v>
      </c>
      <c r="Q19" s="29" t="s">
        <v>144</v>
      </c>
      <c r="R19" s="29" t="s">
        <v>486</v>
      </c>
      <c r="S19" s="29" t="s">
        <v>104</v>
      </c>
      <c r="T19" s="33" t="s">
        <v>487</v>
      </c>
      <c r="U19" s="29" t="s">
        <v>1073</v>
      </c>
      <c r="V19" s="36" t="s">
        <v>487</v>
      </c>
      <c r="W19" s="101"/>
      <c r="X19" s="91" t="s">
        <v>903</v>
      </c>
      <c r="Y19" s="92"/>
      <c r="Z19" s="93"/>
      <c r="AA19" s="149">
        <v>44986</v>
      </c>
      <c r="AB19" s="146">
        <v>45127</v>
      </c>
      <c r="AC19" s="152" t="s">
        <v>674</v>
      </c>
    </row>
    <row r="20" spans="1:29" ht="20.100000000000001" customHeight="1">
      <c r="A20" s="26">
        <f ca="1">IF(P20&lt;"",ROW()-1,"")</f>
        <v>19</v>
      </c>
      <c r="B20" s="42">
        <f>IF(ISBLANK(D20),0,IF(F20&lt;&gt;F19,1,1+B19))</f>
        <v>19</v>
      </c>
      <c r="C20" s="27" t="s">
        <v>387</v>
      </c>
      <c r="D20" s="109">
        <v>52896842</v>
      </c>
      <c r="E20" s="28" t="s">
        <v>82</v>
      </c>
      <c r="F20" s="29" t="s">
        <v>260</v>
      </c>
      <c r="G20" s="30" t="s">
        <v>14</v>
      </c>
      <c r="H20" s="31" t="s">
        <v>994</v>
      </c>
      <c r="I20" s="30" t="s">
        <v>995</v>
      </c>
      <c r="J20" s="31"/>
      <c r="K20" s="30" t="s">
        <v>32</v>
      </c>
      <c r="L20" s="37" t="s">
        <v>327</v>
      </c>
      <c r="M20" s="29" t="s">
        <v>326</v>
      </c>
      <c r="N20" s="29" t="s">
        <v>328</v>
      </c>
      <c r="O20" s="34">
        <v>20078</v>
      </c>
      <c r="P20" s="35">
        <f ca="1">(TODAY()-O20)/365</f>
        <v>71.556164383561651</v>
      </c>
      <c r="Q20" s="29" t="s">
        <v>15</v>
      </c>
      <c r="R20" s="29" t="s">
        <v>329</v>
      </c>
      <c r="S20" s="29" t="s">
        <v>15</v>
      </c>
      <c r="T20" s="33" t="s">
        <v>330</v>
      </c>
      <c r="U20" s="29"/>
      <c r="V20" s="36"/>
      <c r="W20" s="101" t="s">
        <v>1023</v>
      </c>
      <c r="X20" s="91" t="s">
        <v>903</v>
      </c>
      <c r="Y20" s="92"/>
      <c r="Z20" s="93"/>
      <c r="AA20" s="149">
        <v>44713</v>
      </c>
      <c r="AB20" s="146">
        <v>45125</v>
      </c>
      <c r="AC20" s="152" t="s">
        <v>674</v>
      </c>
    </row>
    <row r="21" spans="1:29" ht="20.100000000000001" customHeight="1">
      <c r="A21" s="26">
        <f ca="1">IF(P21&lt;"",ROW()-1,"")</f>
        <v>20</v>
      </c>
      <c r="B21" s="42">
        <f>IF(ISBLANK(D21),0,IF(F21&lt;&gt;F20,1,1+B20))</f>
        <v>20</v>
      </c>
      <c r="C21" s="27" t="s">
        <v>849</v>
      </c>
      <c r="D21" s="109">
        <v>22059067</v>
      </c>
      <c r="E21" s="116" t="s">
        <v>82</v>
      </c>
      <c r="F21" s="29" t="s">
        <v>260</v>
      </c>
      <c r="G21" s="39" t="s">
        <v>14</v>
      </c>
      <c r="H21" s="51" t="s">
        <v>989</v>
      </c>
      <c r="I21" s="39" t="s">
        <v>938</v>
      </c>
      <c r="J21" s="51"/>
      <c r="K21" s="39" t="s">
        <v>32</v>
      </c>
      <c r="L21" s="50" t="s">
        <v>852</v>
      </c>
      <c r="M21" s="44" t="s">
        <v>850</v>
      </c>
      <c r="N21" s="44"/>
      <c r="O21" s="34">
        <v>24041</v>
      </c>
      <c r="P21" s="35">
        <f ca="1">(TODAY()-O21)/365</f>
        <v>60.698630136986303</v>
      </c>
      <c r="Q21" s="44" t="s">
        <v>144</v>
      </c>
      <c r="R21" s="44" t="s">
        <v>260</v>
      </c>
      <c r="S21" s="44" t="s">
        <v>477</v>
      </c>
      <c r="T21" s="52" t="s">
        <v>503</v>
      </c>
      <c r="U21" s="44" t="s">
        <v>854</v>
      </c>
      <c r="V21" s="53" t="s">
        <v>853</v>
      </c>
      <c r="W21" s="101"/>
      <c r="X21" s="91" t="s">
        <v>903</v>
      </c>
      <c r="Y21" s="92"/>
      <c r="Z21" s="93"/>
      <c r="AA21" s="149">
        <v>46016</v>
      </c>
      <c r="AB21" s="146">
        <v>46180</v>
      </c>
      <c r="AC21" s="154" t="s">
        <v>674</v>
      </c>
    </row>
    <row r="22" spans="1:29" ht="20.100000000000001" customHeight="1">
      <c r="A22" s="26">
        <f ca="1">IF(P22&lt;"",ROW()-1,"")</f>
        <v>21</v>
      </c>
      <c r="B22" s="42">
        <f>IF(ISBLANK(D22),0,IF(F22&lt;&gt;F21,1,1+B21))</f>
        <v>21</v>
      </c>
      <c r="C22" s="27" t="s">
        <v>385</v>
      </c>
      <c r="D22" s="109">
        <v>311731384</v>
      </c>
      <c r="E22" s="28" t="s">
        <v>82</v>
      </c>
      <c r="F22" s="29" t="s">
        <v>260</v>
      </c>
      <c r="G22" s="30" t="s">
        <v>22</v>
      </c>
      <c r="H22" s="31" t="s">
        <v>1025</v>
      </c>
      <c r="I22" s="30" t="s">
        <v>1026</v>
      </c>
      <c r="J22" s="31" t="s">
        <v>1032</v>
      </c>
      <c r="K22" s="30" t="s">
        <v>93</v>
      </c>
      <c r="L22" s="37" t="s">
        <v>117</v>
      </c>
      <c r="M22" s="29" t="s">
        <v>118</v>
      </c>
      <c r="N22" s="29" t="s">
        <v>119</v>
      </c>
      <c r="O22" s="34">
        <v>25353</v>
      </c>
      <c r="P22" s="35">
        <f ca="1">(TODAY()-O22)/365</f>
        <v>57.104109589041094</v>
      </c>
      <c r="Q22" s="29" t="s">
        <v>20</v>
      </c>
      <c r="R22" s="29" t="s">
        <v>1027</v>
      </c>
      <c r="S22" s="29" t="s">
        <v>21</v>
      </c>
      <c r="T22" s="33" t="s">
        <v>1028</v>
      </c>
      <c r="U22" s="29" t="s">
        <v>1077</v>
      </c>
      <c r="V22" s="36" t="s">
        <v>1076</v>
      </c>
      <c r="W22" s="101"/>
      <c r="X22" s="91"/>
      <c r="Y22" s="92" t="s">
        <v>903</v>
      </c>
      <c r="Z22" s="93"/>
      <c r="AA22" s="149">
        <v>41640</v>
      </c>
      <c r="AB22" s="146">
        <v>46096</v>
      </c>
      <c r="AC22" s="152" t="s">
        <v>674</v>
      </c>
    </row>
    <row r="23" spans="1:29" ht="20.100000000000001" customHeight="1">
      <c r="A23" s="26">
        <f ca="1">IF(P23&lt;"",ROW()-1,"")</f>
        <v>22</v>
      </c>
      <c r="B23" s="42">
        <f>IF(ISBLANK(D23),0,IF(F23&lt;&gt;F22,1,1+B22))</f>
        <v>22</v>
      </c>
      <c r="C23" s="27" t="s">
        <v>378</v>
      </c>
      <c r="D23" s="109">
        <v>306543950</v>
      </c>
      <c r="E23" s="28" t="s">
        <v>82</v>
      </c>
      <c r="F23" s="29" t="s">
        <v>260</v>
      </c>
      <c r="G23" s="30" t="s">
        <v>14</v>
      </c>
      <c r="H23" s="31" t="s">
        <v>996</v>
      </c>
      <c r="I23" s="30" t="s">
        <v>915</v>
      </c>
      <c r="J23" s="31"/>
      <c r="K23" s="30" t="s">
        <v>32</v>
      </c>
      <c r="L23" s="37" t="s">
        <v>182</v>
      </c>
      <c r="M23" s="29" t="s">
        <v>183</v>
      </c>
      <c r="N23" s="29"/>
      <c r="O23" s="34">
        <v>25204</v>
      </c>
      <c r="P23" s="35">
        <f ca="1">(TODAY()-O23)/365</f>
        <v>57.512328767123286</v>
      </c>
      <c r="Q23" s="29" t="s">
        <v>20</v>
      </c>
      <c r="R23" s="29" t="s">
        <v>350</v>
      </c>
      <c r="S23" s="29" t="s">
        <v>24</v>
      </c>
      <c r="T23" s="33" t="s">
        <v>372</v>
      </c>
      <c r="U23" s="29"/>
      <c r="V23" s="36"/>
      <c r="W23" s="101" t="s">
        <v>1023</v>
      </c>
      <c r="X23" s="91"/>
      <c r="Y23" s="92" t="s">
        <v>903</v>
      </c>
      <c r="Z23" s="93"/>
      <c r="AA23" s="149">
        <v>44178</v>
      </c>
      <c r="AB23" s="146">
        <v>45130</v>
      </c>
      <c r="AC23" s="152" t="s">
        <v>674</v>
      </c>
    </row>
    <row r="24" spans="1:29" ht="20.100000000000001" customHeight="1">
      <c r="A24" s="26">
        <f ca="1">IF(P24&lt;"",ROW()-1,"")</f>
        <v>23</v>
      </c>
      <c r="B24" s="42">
        <f>IF(ISBLANK(D24),0,IF(F24&lt;&gt;F23,1,1+B23))</f>
        <v>23</v>
      </c>
      <c r="C24" s="27" t="s">
        <v>377</v>
      </c>
      <c r="D24" s="109">
        <v>320688674</v>
      </c>
      <c r="E24" s="28" t="s">
        <v>82</v>
      </c>
      <c r="F24" s="29" t="s">
        <v>260</v>
      </c>
      <c r="G24" s="30" t="s">
        <v>22</v>
      </c>
      <c r="H24" s="31" t="s">
        <v>977</v>
      </c>
      <c r="I24" s="30" t="s">
        <v>954</v>
      </c>
      <c r="J24" s="31"/>
      <c r="K24" s="30" t="s">
        <v>32</v>
      </c>
      <c r="L24" s="37" t="s">
        <v>121</v>
      </c>
      <c r="M24" s="29" t="s">
        <v>122</v>
      </c>
      <c r="N24" s="29"/>
      <c r="O24" s="34">
        <v>27558</v>
      </c>
      <c r="P24" s="35">
        <f ca="1">(TODAY()-O24)/365</f>
        <v>51.063013698630137</v>
      </c>
      <c r="Q24" s="29" t="s">
        <v>17</v>
      </c>
      <c r="R24" s="29" t="s">
        <v>123</v>
      </c>
      <c r="S24" s="29" t="s">
        <v>15</v>
      </c>
      <c r="T24" s="33" t="s">
        <v>124</v>
      </c>
      <c r="U24" s="29"/>
      <c r="V24" s="36"/>
      <c r="W24" s="101" t="s">
        <v>1023</v>
      </c>
      <c r="X24" s="91"/>
      <c r="Y24" s="92" t="s">
        <v>903</v>
      </c>
      <c r="Z24" s="93"/>
      <c r="AA24" s="149">
        <v>42414</v>
      </c>
      <c r="AB24" s="146">
        <v>45063</v>
      </c>
      <c r="AC24" s="152" t="s">
        <v>674</v>
      </c>
    </row>
    <row r="25" spans="1:29" ht="20.100000000000001" customHeight="1">
      <c r="A25" s="26">
        <f>IF(P25&lt;"",ROW()-1,"")</f>
        <v>24</v>
      </c>
      <c r="B25" s="42">
        <f>IF(ISBLANK(D25),0,IF(F25&lt;&gt;F24,1,1+B24))</f>
        <v>24</v>
      </c>
      <c r="C25" s="27" t="s">
        <v>381</v>
      </c>
      <c r="D25" s="109">
        <v>316776152</v>
      </c>
      <c r="E25" s="27" t="s">
        <v>82</v>
      </c>
      <c r="F25" s="29" t="s">
        <v>260</v>
      </c>
      <c r="G25" s="49" t="s">
        <v>22</v>
      </c>
      <c r="H25" s="43" t="s">
        <v>1049</v>
      </c>
      <c r="I25" s="49" t="s">
        <v>1048</v>
      </c>
      <c r="J25" s="43" t="s">
        <v>90</v>
      </c>
      <c r="K25" s="39" t="s">
        <v>32</v>
      </c>
      <c r="L25" s="37" t="s">
        <v>837</v>
      </c>
      <c r="M25" s="29" t="s">
        <v>838</v>
      </c>
      <c r="N25" s="29"/>
      <c r="O25" s="34">
        <v>32638</v>
      </c>
      <c r="P25" s="35">
        <v>35.969863013698628</v>
      </c>
      <c r="Q25" s="29" t="s">
        <v>23</v>
      </c>
      <c r="R25" s="29" t="s">
        <v>320</v>
      </c>
      <c r="S25" s="29" t="s">
        <v>24</v>
      </c>
      <c r="T25" s="33" t="s">
        <v>344</v>
      </c>
      <c r="U25" s="29" t="s">
        <v>835</v>
      </c>
      <c r="V25" s="36" t="s">
        <v>839</v>
      </c>
      <c r="W25" s="101" t="s">
        <v>1023</v>
      </c>
      <c r="X25" s="91"/>
      <c r="Y25" s="92" t="s">
        <v>903</v>
      </c>
      <c r="Z25" s="93"/>
      <c r="AA25" s="149">
        <v>45984</v>
      </c>
      <c r="AB25" s="146">
        <v>45158</v>
      </c>
      <c r="AC25" s="154" t="s">
        <v>674</v>
      </c>
    </row>
    <row r="26" spans="1:29" ht="20.100000000000001" customHeight="1">
      <c r="A26" s="26">
        <f ca="1">IF(P26&lt;"",ROW()-1,"")</f>
        <v>25</v>
      </c>
      <c r="B26" s="42">
        <f>IF(ISBLANK(D26),0,IF(F26&lt;&gt;F25,1,1+B25))</f>
        <v>25</v>
      </c>
      <c r="C26" s="27" t="s">
        <v>393</v>
      </c>
      <c r="D26" s="109">
        <v>25283128</v>
      </c>
      <c r="E26" s="28" t="s">
        <v>82</v>
      </c>
      <c r="F26" s="29" t="s">
        <v>260</v>
      </c>
      <c r="G26" s="39" t="s">
        <v>14</v>
      </c>
      <c r="H26" s="51" t="s">
        <v>1024</v>
      </c>
      <c r="I26" s="39" t="s">
        <v>920</v>
      </c>
      <c r="J26" s="31"/>
      <c r="K26" s="30" t="s">
        <v>32</v>
      </c>
      <c r="L26" s="37" t="s">
        <v>212</v>
      </c>
      <c r="M26" s="29" t="s">
        <v>323</v>
      </c>
      <c r="N26" s="29"/>
      <c r="O26" s="34">
        <v>26913</v>
      </c>
      <c r="P26" s="35">
        <f ca="1">(TODAY()-O26)/365</f>
        <v>52.830136986301369</v>
      </c>
      <c r="Q26" s="29" t="s">
        <v>108</v>
      </c>
      <c r="R26" s="29" t="s">
        <v>220</v>
      </c>
      <c r="S26" s="29" t="s">
        <v>108</v>
      </c>
      <c r="T26" s="33" t="s">
        <v>295</v>
      </c>
      <c r="U26" s="29" t="s">
        <v>835</v>
      </c>
      <c r="V26" s="36" t="s">
        <v>836</v>
      </c>
      <c r="W26" s="101"/>
      <c r="X26" s="91"/>
      <c r="Y26" s="92" t="s">
        <v>903</v>
      </c>
      <c r="Z26" s="93"/>
      <c r="AA26" s="149">
        <v>43678</v>
      </c>
      <c r="AB26" s="146">
        <v>45036</v>
      </c>
      <c r="AC26" s="152" t="s">
        <v>674</v>
      </c>
    </row>
    <row r="27" spans="1:29" ht="20.100000000000001" customHeight="1">
      <c r="A27" s="26">
        <f ca="1">IF(P27&lt;"",ROW()-1,"")</f>
        <v>26</v>
      </c>
      <c r="B27" s="42">
        <f>IF(ISBLANK(D27),0,IF(F27&lt;&gt;F26,1,1+B26))</f>
        <v>1</v>
      </c>
      <c r="C27" s="116" t="s">
        <v>536</v>
      </c>
      <c r="D27" s="117">
        <v>201408374</v>
      </c>
      <c r="E27" s="28" t="s">
        <v>82</v>
      </c>
      <c r="F27" s="29" t="s">
        <v>684</v>
      </c>
      <c r="G27" s="131" t="s">
        <v>14</v>
      </c>
      <c r="H27" s="132" t="s">
        <v>919</v>
      </c>
      <c r="I27" s="131" t="s">
        <v>918</v>
      </c>
      <c r="J27" s="133"/>
      <c r="K27" s="39" t="s">
        <v>32</v>
      </c>
      <c r="L27" s="135" t="s">
        <v>446</v>
      </c>
      <c r="M27" s="122" t="s">
        <v>447</v>
      </c>
      <c r="N27" s="122"/>
      <c r="O27" s="34">
        <v>32905</v>
      </c>
      <c r="P27" s="123">
        <f ca="1">(TODAY()-O27)/365</f>
        <v>36.413698630136984</v>
      </c>
      <c r="Q27" s="122" t="s">
        <v>23</v>
      </c>
      <c r="R27" s="122" t="s">
        <v>223</v>
      </c>
      <c r="S27" s="122" t="s">
        <v>21</v>
      </c>
      <c r="T27" s="124" t="s">
        <v>880</v>
      </c>
      <c r="U27" s="29"/>
      <c r="V27" s="36"/>
      <c r="W27" s="101"/>
      <c r="X27" s="128"/>
      <c r="Y27" s="92" t="s">
        <v>903</v>
      </c>
      <c r="Z27" s="130"/>
      <c r="AA27" s="149">
        <v>46072</v>
      </c>
      <c r="AB27" s="146">
        <v>45159</v>
      </c>
      <c r="AC27" s="154" t="s">
        <v>674</v>
      </c>
    </row>
    <row r="28" spans="1:29" ht="20.100000000000001" customHeight="1">
      <c r="A28" s="26">
        <f ca="1">IF(P28&lt;"",ROW()-1,"")</f>
        <v>27</v>
      </c>
      <c r="B28" s="42">
        <f>IF(ISBLANK(D28),0,IF(F28&lt;&gt;F27,1,1+B27))</f>
        <v>2</v>
      </c>
      <c r="C28" s="27" t="s">
        <v>662</v>
      </c>
      <c r="D28" s="109">
        <v>319480232</v>
      </c>
      <c r="E28" s="28" t="s">
        <v>82</v>
      </c>
      <c r="F28" s="29" t="s">
        <v>684</v>
      </c>
      <c r="G28" s="30" t="s">
        <v>363</v>
      </c>
      <c r="H28" s="31" t="s">
        <v>967</v>
      </c>
      <c r="I28" s="30" t="s">
        <v>909</v>
      </c>
      <c r="J28" s="31"/>
      <c r="K28" s="30" t="s">
        <v>32</v>
      </c>
      <c r="L28" s="54" t="s">
        <v>309</v>
      </c>
      <c r="M28" s="29" t="s">
        <v>287</v>
      </c>
      <c r="N28" s="29" t="s">
        <v>306</v>
      </c>
      <c r="O28" s="34">
        <v>25358</v>
      </c>
      <c r="P28" s="35">
        <f ca="1">(TODAY()-O28)/365</f>
        <v>57.090410958904108</v>
      </c>
      <c r="Q28" s="29" t="s">
        <v>144</v>
      </c>
      <c r="R28" s="29" t="s">
        <v>810</v>
      </c>
      <c r="S28" s="29" t="s">
        <v>24</v>
      </c>
      <c r="T28" s="33" t="s">
        <v>811</v>
      </c>
      <c r="U28" s="29" t="s">
        <v>792</v>
      </c>
      <c r="V28" s="55" t="s">
        <v>791</v>
      </c>
      <c r="W28" s="102"/>
      <c r="X28" s="91" t="s">
        <v>903</v>
      </c>
      <c r="Y28" s="92"/>
      <c r="Z28" s="93"/>
      <c r="AA28" s="149">
        <v>43586</v>
      </c>
      <c r="AB28" s="146">
        <v>46131</v>
      </c>
      <c r="AC28" s="152" t="s">
        <v>672</v>
      </c>
    </row>
    <row r="29" spans="1:29" ht="20.100000000000001" customHeight="1">
      <c r="A29" s="26">
        <f ca="1">IF(P29&lt;"",ROW()-1,"")</f>
        <v>28</v>
      </c>
      <c r="B29" s="42">
        <f>IF(ISBLANK(D29),0,IF(F29&lt;&gt;F28,1,1+B28))</f>
        <v>3</v>
      </c>
      <c r="C29" s="27" t="s">
        <v>661</v>
      </c>
      <c r="D29" s="109">
        <v>59695429</v>
      </c>
      <c r="E29" s="28" t="s">
        <v>82</v>
      </c>
      <c r="F29" s="29" t="s">
        <v>684</v>
      </c>
      <c r="G29" s="30" t="s">
        <v>14</v>
      </c>
      <c r="H29" s="31" t="s">
        <v>970</v>
      </c>
      <c r="I29" s="30" t="s">
        <v>958</v>
      </c>
      <c r="J29" s="31"/>
      <c r="K29" s="30" t="s">
        <v>32</v>
      </c>
      <c r="L29" s="37" t="s">
        <v>139</v>
      </c>
      <c r="M29" s="29" t="s">
        <v>147</v>
      </c>
      <c r="N29" s="29" t="s">
        <v>154</v>
      </c>
      <c r="O29" s="34">
        <v>23938</v>
      </c>
      <c r="P29" s="35">
        <f ca="1">(TODAY()-O29)/365</f>
        <v>60.980821917808221</v>
      </c>
      <c r="Q29" s="29" t="s">
        <v>24</v>
      </c>
      <c r="R29" s="29" t="s">
        <v>107</v>
      </c>
      <c r="S29" s="29" t="s">
        <v>24</v>
      </c>
      <c r="T29" s="33" t="s">
        <v>812</v>
      </c>
      <c r="U29" s="29"/>
      <c r="V29" s="55"/>
      <c r="W29" s="102" t="s">
        <v>1023</v>
      </c>
      <c r="X29" s="91" t="s">
        <v>903</v>
      </c>
      <c r="Y29" s="92"/>
      <c r="Z29" s="93"/>
      <c r="AA29" s="149">
        <v>42372</v>
      </c>
      <c r="AB29" s="146">
        <v>46171</v>
      </c>
      <c r="AC29" s="152" t="s">
        <v>674</v>
      </c>
    </row>
    <row r="30" spans="1:29" ht="20.100000000000001" customHeight="1">
      <c r="A30" s="26">
        <f ca="1">IF(P30&lt;"",ROW()-1,"")</f>
        <v>29</v>
      </c>
      <c r="B30" s="42">
        <f>IF(ISBLANK(D30),0,IF(F30&lt;&gt;F29,1,1+B29))</f>
        <v>4</v>
      </c>
      <c r="C30" s="27" t="s">
        <v>85</v>
      </c>
      <c r="D30" s="109">
        <v>55538631</v>
      </c>
      <c r="E30" s="28" t="s">
        <v>82</v>
      </c>
      <c r="F30" s="29" t="s">
        <v>684</v>
      </c>
      <c r="G30" s="30" t="s">
        <v>14</v>
      </c>
      <c r="H30" s="31" t="s">
        <v>1013</v>
      </c>
      <c r="I30" s="30" t="s">
        <v>691</v>
      </c>
      <c r="J30" s="31"/>
      <c r="K30" s="30" t="s">
        <v>91</v>
      </c>
      <c r="L30" s="37" t="s">
        <v>101</v>
      </c>
      <c r="M30" s="29" t="s">
        <v>691</v>
      </c>
      <c r="N30" s="29"/>
      <c r="O30" s="34">
        <v>21524</v>
      </c>
      <c r="P30" s="35">
        <f ca="1">(TODAY()-O30)/365</f>
        <v>67.594520547945208</v>
      </c>
      <c r="Q30" s="29" t="s">
        <v>1014</v>
      </c>
      <c r="R30" s="29" t="s">
        <v>1015</v>
      </c>
      <c r="S30" s="29" t="s">
        <v>26</v>
      </c>
      <c r="T30" s="33" t="s">
        <v>1016</v>
      </c>
      <c r="U30" s="29" t="s">
        <v>103</v>
      </c>
      <c r="V30" s="36" t="s">
        <v>1017</v>
      </c>
      <c r="W30" s="101"/>
      <c r="X30" s="91"/>
      <c r="Y30" s="92"/>
      <c r="Z30" s="93" t="s">
        <v>903</v>
      </c>
      <c r="AA30" s="149">
        <v>42883</v>
      </c>
      <c r="AB30" s="146">
        <v>46111</v>
      </c>
      <c r="AC30" s="152" t="s">
        <v>672</v>
      </c>
    </row>
    <row r="31" spans="1:29" ht="20.100000000000001" customHeight="1">
      <c r="A31" s="26">
        <f ca="1">IF(P31&lt;"",ROW()-1,"")</f>
        <v>30</v>
      </c>
      <c r="B31" s="42">
        <f>IF(ISBLANK(D31),0,IF(F31&lt;&gt;F30,1,1+B30))</f>
        <v>5</v>
      </c>
      <c r="C31" s="27" t="s">
        <v>899</v>
      </c>
      <c r="D31" s="109">
        <v>34072348</v>
      </c>
      <c r="E31" s="27" t="s">
        <v>82</v>
      </c>
      <c r="F31" s="29" t="s">
        <v>684</v>
      </c>
      <c r="G31" s="49" t="s">
        <v>14</v>
      </c>
      <c r="H31" s="43" t="s">
        <v>980</v>
      </c>
      <c r="I31" s="49" t="s">
        <v>938</v>
      </c>
      <c r="J31" s="43"/>
      <c r="K31" s="39" t="s">
        <v>32</v>
      </c>
      <c r="L31" s="136" t="s">
        <v>982</v>
      </c>
      <c r="M31" s="29" t="s">
        <v>983</v>
      </c>
      <c r="N31" s="29"/>
      <c r="O31" s="34">
        <v>28299</v>
      </c>
      <c r="P31" s="35">
        <f ca="1">(TODAY()-O31)/365</f>
        <v>49.032876712328765</v>
      </c>
      <c r="Q31" s="137" t="s">
        <v>24</v>
      </c>
      <c r="R31" s="29" t="s">
        <v>574</v>
      </c>
      <c r="S31" s="137" t="s">
        <v>24</v>
      </c>
      <c r="T31" s="33" t="s">
        <v>984</v>
      </c>
      <c r="U31" s="29" t="s">
        <v>770</v>
      </c>
      <c r="V31" s="36" t="s">
        <v>559</v>
      </c>
      <c r="W31" s="101"/>
      <c r="X31" s="91" t="s">
        <v>903</v>
      </c>
      <c r="Y31" s="92"/>
      <c r="Z31" s="93"/>
      <c r="AA31" s="149">
        <v>46125</v>
      </c>
      <c r="AB31" s="146"/>
      <c r="AC31" s="154" t="s">
        <v>674</v>
      </c>
    </row>
    <row r="32" spans="1:29" ht="20.100000000000001" customHeight="1">
      <c r="A32" s="26">
        <f ca="1">IF(P32&lt;"",ROW()-1,"")</f>
        <v>31</v>
      </c>
      <c r="B32" s="42">
        <f>IF(ISBLANK(D32),0,IF(F32&lt;&gt;F31,1,1+B31))</f>
        <v>6</v>
      </c>
      <c r="C32" s="56" t="s">
        <v>408</v>
      </c>
      <c r="D32" s="111">
        <v>310235478</v>
      </c>
      <c r="E32" s="57" t="s">
        <v>82</v>
      </c>
      <c r="F32" s="29" t="s">
        <v>684</v>
      </c>
      <c r="G32" s="39" t="s">
        <v>410</v>
      </c>
      <c r="H32" s="51" t="s">
        <v>998</v>
      </c>
      <c r="I32" s="39" t="s">
        <v>999</v>
      </c>
      <c r="J32" s="51" t="s">
        <v>412</v>
      </c>
      <c r="K32" s="30" t="s">
        <v>32</v>
      </c>
      <c r="L32" s="58" t="s">
        <v>409</v>
      </c>
      <c r="M32" s="44" t="s">
        <v>411</v>
      </c>
      <c r="N32" s="59"/>
      <c r="O32" s="60">
        <v>29682</v>
      </c>
      <c r="P32" s="35">
        <f ca="1">(TODAY()-O32)/365</f>
        <v>45.243835616438353</v>
      </c>
      <c r="Q32" s="44" t="s">
        <v>23</v>
      </c>
      <c r="R32" s="44" t="s">
        <v>596</v>
      </c>
      <c r="S32" s="29" t="s">
        <v>46</v>
      </c>
      <c r="T32" s="52" t="s">
        <v>595</v>
      </c>
      <c r="U32" s="29" t="s">
        <v>813</v>
      </c>
      <c r="V32" s="36" t="s">
        <v>814</v>
      </c>
      <c r="W32" s="101"/>
      <c r="X32" s="91" t="s">
        <v>903</v>
      </c>
      <c r="Y32" s="92"/>
      <c r="Z32" s="93"/>
      <c r="AA32" s="149">
        <v>45746</v>
      </c>
      <c r="AB32" s="146">
        <v>45034</v>
      </c>
      <c r="AC32" s="152" t="s">
        <v>672</v>
      </c>
    </row>
    <row r="33" spans="1:29" ht="20.100000000000001" customHeight="1">
      <c r="A33" s="26">
        <f ca="1">IF(P33&lt;"",ROW()-1,"")</f>
        <v>32</v>
      </c>
      <c r="B33" s="42">
        <f>IF(ISBLANK(D33),0,IF(F33&lt;&gt;F32,1,1+B32))</f>
        <v>7</v>
      </c>
      <c r="C33" s="27" t="s">
        <v>598</v>
      </c>
      <c r="D33" s="109">
        <v>16944894</v>
      </c>
      <c r="E33" s="27" t="s">
        <v>82</v>
      </c>
      <c r="F33" s="29" t="s">
        <v>684</v>
      </c>
      <c r="G33" s="30" t="s">
        <v>14</v>
      </c>
      <c r="H33" s="31" t="s">
        <v>971</v>
      </c>
      <c r="I33" s="30" t="s">
        <v>915</v>
      </c>
      <c r="J33" s="31"/>
      <c r="K33" s="39" t="s">
        <v>32</v>
      </c>
      <c r="L33" s="37" t="s">
        <v>599</v>
      </c>
      <c r="M33" s="29" t="s">
        <v>600</v>
      </c>
      <c r="N33" s="29"/>
      <c r="O33" s="34">
        <v>26379</v>
      </c>
      <c r="P33" s="35">
        <f ca="1">(TODAY()-O33)/365</f>
        <v>54.293150684931504</v>
      </c>
      <c r="Q33" s="29" t="s">
        <v>24</v>
      </c>
      <c r="R33" s="29" t="s">
        <v>601</v>
      </c>
      <c r="S33" s="29" t="s">
        <v>24</v>
      </c>
      <c r="T33" s="33" t="s">
        <v>602</v>
      </c>
      <c r="U33" s="29" t="s">
        <v>815</v>
      </c>
      <c r="V33" s="36" t="s">
        <v>816</v>
      </c>
      <c r="W33" s="101"/>
      <c r="X33" s="91"/>
      <c r="Y33" s="92" t="s">
        <v>903</v>
      </c>
      <c r="Z33" s="93"/>
      <c r="AA33" s="149">
        <v>44211</v>
      </c>
      <c r="AB33" s="146">
        <v>45654</v>
      </c>
      <c r="AC33" s="152" t="s">
        <v>674</v>
      </c>
    </row>
    <row r="34" spans="1:29" ht="20.100000000000001" customHeight="1">
      <c r="A34" s="26">
        <f ca="1">IF(P34&lt;"",ROW()-1,"")</f>
        <v>33</v>
      </c>
      <c r="B34" s="42">
        <f>IF(ISBLANK(D34),0,IF(F34&lt;&gt;F33,1,1+B33))</f>
        <v>8</v>
      </c>
      <c r="C34" s="27" t="s">
        <v>133</v>
      </c>
      <c r="D34" s="109">
        <v>24264806</v>
      </c>
      <c r="E34" s="28" t="s">
        <v>82</v>
      </c>
      <c r="F34" s="29" t="s">
        <v>684</v>
      </c>
      <c r="G34" s="30" t="s">
        <v>14</v>
      </c>
      <c r="H34" s="31" t="s">
        <v>947</v>
      </c>
      <c r="I34" s="30" t="s">
        <v>909</v>
      </c>
      <c r="J34" s="31"/>
      <c r="K34" s="30" t="s">
        <v>32</v>
      </c>
      <c r="L34" s="32" t="s">
        <v>334</v>
      </c>
      <c r="M34" s="29" t="s">
        <v>149</v>
      </c>
      <c r="N34" s="29"/>
      <c r="O34" s="34">
        <v>25396</v>
      </c>
      <c r="P34" s="35">
        <f ca="1">(TODAY()-O34)/365</f>
        <v>56.986301369863014</v>
      </c>
      <c r="Q34" s="29"/>
      <c r="R34" s="29" t="s">
        <v>161</v>
      </c>
      <c r="S34" s="29" t="s">
        <v>46</v>
      </c>
      <c r="T34" s="33" t="s">
        <v>162</v>
      </c>
      <c r="U34" s="29" t="s">
        <v>1070</v>
      </c>
      <c r="V34" s="36" t="s">
        <v>887</v>
      </c>
      <c r="W34" s="101"/>
      <c r="X34" s="91" t="s">
        <v>903</v>
      </c>
      <c r="Y34" s="92"/>
      <c r="Z34" s="93"/>
      <c r="AA34" s="149">
        <v>44272</v>
      </c>
      <c r="AB34" s="146">
        <v>45319</v>
      </c>
      <c r="AC34" s="152" t="s">
        <v>674</v>
      </c>
    </row>
    <row r="35" spans="1:29" ht="20.100000000000001" customHeight="1">
      <c r="A35" s="26">
        <f ca="1">IF(P35&lt;"",ROW()-1,"")</f>
        <v>34</v>
      </c>
      <c r="B35" s="42">
        <f>IF(ISBLANK(D35),0,IF(F35&lt;&gt;F34,1,1+B34))</f>
        <v>9</v>
      </c>
      <c r="C35" s="27" t="s">
        <v>657</v>
      </c>
      <c r="D35" s="109">
        <v>320634512</v>
      </c>
      <c r="E35" s="28" t="s">
        <v>82</v>
      </c>
      <c r="F35" s="29" t="s">
        <v>684</v>
      </c>
      <c r="G35" s="30" t="s">
        <v>14</v>
      </c>
      <c r="H35" s="31" t="s">
        <v>967</v>
      </c>
      <c r="I35" s="30" t="s">
        <v>909</v>
      </c>
      <c r="J35" s="31"/>
      <c r="K35" s="30" t="s">
        <v>32</v>
      </c>
      <c r="L35" s="54" t="s">
        <v>309</v>
      </c>
      <c r="M35" s="29" t="s">
        <v>283</v>
      </c>
      <c r="N35" s="29" t="s">
        <v>306</v>
      </c>
      <c r="O35" s="34">
        <v>25590</v>
      </c>
      <c r="P35" s="35">
        <f ca="1">(TODAY()-O35)/365</f>
        <v>56.454794520547942</v>
      </c>
      <c r="Q35" s="29" t="s">
        <v>144</v>
      </c>
      <c r="R35" s="29" t="s">
        <v>790</v>
      </c>
      <c r="S35" s="29" t="s">
        <v>104</v>
      </c>
      <c r="T35" s="33" t="s">
        <v>791</v>
      </c>
      <c r="U35" s="29" t="s">
        <v>1082</v>
      </c>
      <c r="V35" s="36" t="s">
        <v>791</v>
      </c>
      <c r="W35" s="101"/>
      <c r="X35" s="91" t="s">
        <v>903</v>
      </c>
      <c r="Y35" s="92"/>
      <c r="Z35" s="93"/>
      <c r="AA35" s="149">
        <v>41640</v>
      </c>
      <c r="AB35" s="146">
        <v>46071</v>
      </c>
      <c r="AC35" s="152" t="s">
        <v>674</v>
      </c>
    </row>
    <row r="36" spans="1:29" ht="20.100000000000001" customHeight="1">
      <c r="A36" s="26">
        <f ca="1">IF(P36&lt;"",ROW()-1,"")</f>
        <v>35</v>
      </c>
      <c r="B36" s="42">
        <f>IF(ISBLANK(D36),0,IF(F36&lt;&gt;F35,1,1+B35))</f>
        <v>10</v>
      </c>
      <c r="C36" s="27" t="s">
        <v>658</v>
      </c>
      <c r="D36" s="109">
        <v>307755579</v>
      </c>
      <c r="E36" s="28" t="s">
        <v>82</v>
      </c>
      <c r="F36" s="29" t="s">
        <v>684</v>
      </c>
      <c r="G36" s="30" t="s">
        <v>14</v>
      </c>
      <c r="H36" s="31" t="s">
        <v>967</v>
      </c>
      <c r="I36" s="30" t="s">
        <v>909</v>
      </c>
      <c r="J36" s="31"/>
      <c r="K36" s="30" t="s">
        <v>32</v>
      </c>
      <c r="L36" s="37" t="s">
        <v>242</v>
      </c>
      <c r="M36" s="29" t="s">
        <v>285</v>
      </c>
      <c r="N36" s="29" t="s">
        <v>307</v>
      </c>
      <c r="O36" s="34">
        <v>21988</v>
      </c>
      <c r="P36" s="35">
        <f ca="1">(TODAY()-O36)/365</f>
        <v>66.323287671232876</v>
      </c>
      <c r="Q36" s="29" t="s">
        <v>20</v>
      </c>
      <c r="R36" s="29" t="s">
        <v>823</v>
      </c>
      <c r="S36" s="29" t="s">
        <v>18</v>
      </c>
      <c r="T36" s="33" t="s">
        <v>817</v>
      </c>
      <c r="U36" s="29" t="s">
        <v>1083</v>
      </c>
      <c r="V36" s="36" t="s">
        <v>736</v>
      </c>
      <c r="W36" s="101"/>
      <c r="X36" s="91"/>
      <c r="Y36" s="92" t="s">
        <v>903</v>
      </c>
      <c r="Z36" s="93"/>
      <c r="AA36" s="149">
        <v>41640</v>
      </c>
      <c r="AB36" s="146">
        <v>45260</v>
      </c>
      <c r="AC36" s="152" t="s">
        <v>672</v>
      </c>
    </row>
    <row r="37" spans="1:29" ht="20.100000000000001" customHeight="1">
      <c r="A37" s="26">
        <f ca="1">IF(P37&lt;"",ROW()-1,"")</f>
        <v>36</v>
      </c>
      <c r="B37" s="42">
        <f>IF(ISBLANK(D37),0,IF(F37&lt;&gt;F36,1,1+B36))</f>
        <v>11</v>
      </c>
      <c r="C37" s="116" t="s">
        <v>702</v>
      </c>
      <c r="D37" s="117">
        <v>211616735</v>
      </c>
      <c r="E37" s="27" t="s">
        <v>82</v>
      </c>
      <c r="F37" s="29" t="s">
        <v>684</v>
      </c>
      <c r="G37" s="131" t="s">
        <v>22</v>
      </c>
      <c r="H37" s="132" t="s">
        <v>972</v>
      </c>
      <c r="I37" s="131" t="s">
        <v>973</v>
      </c>
      <c r="J37" s="138"/>
      <c r="K37" s="39" t="s">
        <v>32</v>
      </c>
      <c r="L37" s="37" t="s">
        <v>703</v>
      </c>
      <c r="M37" s="29" t="s">
        <v>704</v>
      </c>
      <c r="N37" s="122"/>
      <c r="O37" s="126">
        <v>36838</v>
      </c>
      <c r="P37" s="123">
        <f ca="1">(TODAY()-O37)/365</f>
        <v>25.638356164383563</v>
      </c>
      <c r="Q37" s="122" t="s">
        <v>24</v>
      </c>
      <c r="R37" s="122" t="s">
        <v>708</v>
      </c>
      <c r="S37" s="122" t="s">
        <v>24</v>
      </c>
      <c r="T37" s="115" t="s">
        <v>786</v>
      </c>
      <c r="U37" s="122" t="s">
        <v>1084</v>
      </c>
      <c r="V37" s="36" t="s">
        <v>1085</v>
      </c>
      <c r="W37" s="101"/>
      <c r="X37" s="128" t="s">
        <v>903</v>
      </c>
      <c r="Y37" s="129"/>
      <c r="Z37" s="130"/>
      <c r="AA37" s="149">
        <v>45866</v>
      </c>
      <c r="AB37" s="146">
        <v>46154</v>
      </c>
      <c r="AC37" s="152" t="s">
        <v>674</v>
      </c>
    </row>
    <row r="38" spans="1:29" ht="20.100000000000001" customHeight="1">
      <c r="A38" s="26">
        <f ca="1">IF(P38&lt;"",ROW()-1,"")</f>
        <v>37</v>
      </c>
      <c r="B38" s="42">
        <f>IF(ISBLANK(D38),0,IF(F38&lt;&gt;F37,1,1+B37))</f>
        <v>12</v>
      </c>
      <c r="C38" s="27" t="s">
        <v>505</v>
      </c>
      <c r="D38" s="109">
        <v>337803449</v>
      </c>
      <c r="E38" s="28" t="s">
        <v>82</v>
      </c>
      <c r="F38" s="29" t="s">
        <v>684</v>
      </c>
      <c r="G38" s="30" t="s">
        <v>14</v>
      </c>
      <c r="H38" s="31" t="s">
        <v>1004</v>
      </c>
      <c r="I38" s="30" t="s">
        <v>909</v>
      </c>
      <c r="J38" s="31"/>
      <c r="K38" s="30" t="s">
        <v>32</v>
      </c>
      <c r="L38" s="37" t="s">
        <v>110</v>
      </c>
      <c r="M38" s="29" t="s">
        <v>111</v>
      </c>
      <c r="N38" s="29"/>
      <c r="O38" s="34">
        <v>33142</v>
      </c>
      <c r="P38" s="35">
        <f ca="1">(TODAY()-O38)/365</f>
        <v>35.764383561643832</v>
      </c>
      <c r="Q38" s="29" t="s">
        <v>20</v>
      </c>
      <c r="R38" s="29" t="s">
        <v>112</v>
      </c>
      <c r="S38" s="29" t="s">
        <v>46</v>
      </c>
      <c r="T38" s="33" t="s">
        <v>113</v>
      </c>
      <c r="U38" s="29" t="s">
        <v>765</v>
      </c>
      <c r="V38" s="36" t="s">
        <v>766</v>
      </c>
      <c r="W38" s="101"/>
      <c r="X38" s="91" t="s">
        <v>903</v>
      </c>
      <c r="Y38" s="92"/>
      <c r="Z38" s="93"/>
      <c r="AA38" s="149">
        <v>44076</v>
      </c>
      <c r="AB38" s="146">
        <v>45445</v>
      </c>
      <c r="AC38" s="154" t="s">
        <v>674</v>
      </c>
    </row>
    <row r="39" spans="1:29" ht="20.100000000000001" customHeight="1">
      <c r="A39" s="26">
        <f ca="1">IF(P39&lt;"",ROW()-1,"")</f>
        <v>38</v>
      </c>
      <c r="B39" s="42">
        <f>IF(ISBLANK(D39),0,IF(F39&lt;&gt;F38,1,1+B38))</f>
        <v>13</v>
      </c>
      <c r="C39" s="116" t="s">
        <v>869</v>
      </c>
      <c r="D39" s="117">
        <v>37975448</v>
      </c>
      <c r="E39" s="28" t="s">
        <v>82</v>
      </c>
      <c r="F39" s="29" t="s">
        <v>684</v>
      </c>
      <c r="G39" s="134" t="s">
        <v>22</v>
      </c>
      <c r="H39" s="139" t="s">
        <v>974</v>
      </c>
      <c r="I39" s="134" t="s">
        <v>975</v>
      </c>
      <c r="J39" s="140"/>
      <c r="K39" s="39" t="s">
        <v>32</v>
      </c>
      <c r="L39" s="37" t="s">
        <v>870</v>
      </c>
      <c r="M39" s="137" t="s">
        <v>871</v>
      </c>
      <c r="N39" s="137"/>
      <c r="O39" s="126">
        <v>31360</v>
      </c>
      <c r="P39" s="35">
        <f ca="1">(TODAY()-O39)/365</f>
        <v>40.646575342465752</v>
      </c>
      <c r="Q39" s="137" t="s">
        <v>126</v>
      </c>
      <c r="R39" s="137" t="s">
        <v>872</v>
      </c>
      <c r="S39" s="137" t="s">
        <v>126</v>
      </c>
      <c r="T39" s="115" t="s">
        <v>873</v>
      </c>
      <c r="U39" s="29" t="s">
        <v>1086</v>
      </c>
      <c r="V39" s="36" t="s">
        <v>1087</v>
      </c>
      <c r="W39" s="101"/>
      <c r="X39" s="128" t="s">
        <v>903</v>
      </c>
      <c r="Y39" s="129"/>
      <c r="Z39" s="130"/>
      <c r="AA39" s="149">
        <v>46068</v>
      </c>
      <c r="AB39" s="146">
        <v>46176</v>
      </c>
      <c r="AC39" s="152" t="s">
        <v>672</v>
      </c>
    </row>
    <row r="40" spans="1:29" ht="20.100000000000001" customHeight="1">
      <c r="A40" s="26">
        <f ca="1">IF(P40&lt;"",ROW()-1,"")</f>
        <v>39</v>
      </c>
      <c r="B40" s="42">
        <f>IF(ISBLANK(D40),0,IF(F40&lt;&gt;F39,1,1+B39))</f>
        <v>14</v>
      </c>
      <c r="C40" s="27" t="s">
        <v>134</v>
      </c>
      <c r="D40" s="109">
        <v>51972537</v>
      </c>
      <c r="E40" s="28" t="s">
        <v>82</v>
      </c>
      <c r="F40" s="29" t="s">
        <v>684</v>
      </c>
      <c r="G40" s="30" t="s">
        <v>22</v>
      </c>
      <c r="H40" s="139" t="s">
        <v>1000</v>
      </c>
      <c r="I40" s="30" t="s">
        <v>976</v>
      </c>
      <c r="J40" s="31" t="s">
        <v>364</v>
      </c>
      <c r="K40" s="30" t="s">
        <v>32</v>
      </c>
      <c r="L40" s="37" t="s">
        <v>389</v>
      </c>
      <c r="M40" s="29" t="s">
        <v>310</v>
      </c>
      <c r="N40" s="29"/>
      <c r="O40" s="34">
        <v>19851</v>
      </c>
      <c r="P40" s="35">
        <f ca="1">(TODAY()-O40)/365</f>
        <v>72.178082191780817</v>
      </c>
      <c r="Q40" s="29" t="s">
        <v>24</v>
      </c>
      <c r="R40" s="29" t="s">
        <v>27</v>
      </c>
      <c r="S40" s="29" t="s">
        <v>108</v>
      </c>
      <c r="T40" s="33" t="s">
        <v>163</v>
      </c>
      <c r="U40" s="33"/>
      <c r="V40" s="36"/>
      <c r="W40" s="101" t="s">
        <v>1023</v>
      </c>
      <c r="X40" s="91"/>
      <c r="Y40" s="92"/>
      <c r="Z40" s="93" t="s">
        <v>903</v>
      </c>
      <c r="AA40" s="149">
        <v>43044</v>
      </c>
      <c r="AB40" s="146">
        <v>46063</v>
      </c>
      <c r="AC40" s="152" t="s">
        <v>674</v>
      </c>
    </row>
    <row r="41" spans="1:29" ht="20.100000000000001" customHeight="1">
      <c r="A41" s="26">
        <f ca="1">IF(P41&lt;"",ROW()-1,"")</f>
        <v>40</v>
      </c>
      <c r="B41" s="42">
        <f>IF(ISBLANK(D41),0,IF(F41&lt;&gt;F40,1,1+B40))</f>
        <v>15</v>
      </c>
      <c r="C41" s="142" t="s">
        <v>1051</v>
      </c>
      <c r="D41" s="113">
        <v>206871071</v>
      </c>
      <c r="E41" s="28" t="s">
        <v>82</v>
      </c>
      <c r="F41" s="29" t="s">
        <v>684</v>
      </c>
      <c r="G41" s="30" t="s">
        <v>22</v>
      </c>
      <c r="H41" s="51" t="s">
        <v>1064</v>
      </c>
      <c r="I41" s="39" t="s">
        <v>955</v>
      </c>
      <c r="J41" s="51"/>
      <c r="K41" s="39" t="s">
        <v>32</v>
      </c>
      <c r="L41" s="58" t="s">
        <v>1052</v>
      </c>
      <c r="M41" s="44" t="s">
        <v>1065</v>
      </c>
      <c r="N41" s="44"/>
      <c r="O41" s="34">
        <v>36569</v>
      </c>
      <c r="P41" s="35">
        <f ca="1">(TODAY()-O41)/365</f>
        <v>26.375342465753423</v>
      </c>
      <c r="Q41" s="44" t="s">
        <v>23</v>
      </c>
      <c r="R41" s="44" t="s">
        <v>1068</v>
      </c>
      <c r="S41" s="44" t="s">
        <v>46</v>
      </c>
      <c r="T41" s="52" t="s">
        <v>1069</v>
      </c>
      <c r="U41" s="44" t="s">
        <v>1067</v>
      </c>
      <c r="V41" s="36" t="s">
        <v>1066</v>
      </c>
      <c r="W41" s="101"/>
      <c r="X41" s="91"/>
      <c r="Y41" s="129" t="s">
        <v>903</v>
      </c>
      <c r="Z41" s="93"/>
      <c r="AA41" s="149">
        <v>46174</v>
      </c>
      <c r="AB41" s="146"/>
      <c r="AC41" s="152" t="s">
        <v>674</v>
      </c>
    </row>
    <row r="42" spans="1:29" ht="20.100000000000001" customHeight="1">
      <c r="A42" s="26">
        <f ca="1">IF(P42&lt;"",ROW()-1,"")</f>
        <v>41</v>
      </c>
      <c r="B42" s="42">
        <f>IF(ISBLANK(D42),0,IF(F42&lt;&gt;F41,1,1+B41))</f>
        <v>16</v>
      </c>
      <c r="C42" s="27" t="s">
        <v>904</v>
      </c>
      <c r="D42" s="109">
        <v>321913089</v>
      </c>
      <c r="E42" s="27" t="s">
        <v>82</v>
      </c>
      <c r="F42" s="29" t="s">
        <v>684</v>
      </c>
      <c r="G42" s="49" t="s">
        <v>363</v>
      </c>
      <c r="H42" s="43" t="s">
        <v>1010</v>
      </c>
      <c r="I42" s="49" t="s">
        <v>999</v>
      </c>
      <c r="J42" s="43" t="s">
        <v>1009</v>
      </c>
      <c r="K42" s="39" t="s">
        <v>32</v>
      </c>
      <c r="L42" s="37" t="s">
        <v>1011</v>
      </c>
      <c r="M42" s="29" t="s">
        <v>681</v>
      </c>
      <c r="N42" s="29"/>
      <c r="O42" s="34">
        <v>28235</v>
      </c>
      <c r="P42" s="35">
        <f ca="1">(TODAY()-O42)/365</f>
        <v>49.208219178082189</v>
      </c>
      <c r="Q42" s="29" t="s">
        <v>74</v>
      </c>
      <c r="R42" s="29" t="s">
        <v>682</v>
      </c>
      <c r="S42" s="29" t="s">
        <v>24</v>
      </c>
      <c r="T42" s="33" t="s">
        <v>683</v>
      </c>
      <c r="U42" s="29" t="s">
        <v>1088</v>
      </c>
      <c r="V42" s="36" t="s">
        <v>1089</v>
      </c>
      <c r="W42" s="101" t="s">
        <v>1023</v>
      </c>
      <c r="X42" s="91"/>
      <c r="Y42" s="92" t="s">
        <v>903</v>
      </c>
      <c r="Z42" s="93"/>
      <c r="AA42" s="149">
        <v>46131</v>
      </c>
      <c r="AB42" s="146"/>
      <c r="AC42" s="155" t="s">
        <v>674</v>
      </c>
    </row>
    <row r="43" spans="1:29" ht="20.100000000000001" customHeight="1">
      <c r="A43" s="26">
        <f>IF(P43&lt;"",ROW()-1,"")</f>
        <v>42</v>
      </c>
      <c r="B43" s="114">
        <f>IF(ISBLANK(D43),0,IF(F43&lt;&gt;F42,1,1+B42))</f>
        <v>17</v>
      </c>
      <c r="C43" s="27" t="s">
        <v>379</v>
      </c>
      <c r="D43" s="109">
        <v>309593390</v>
      </c>
      <c r="E43" s="27" t="s">
        <v>82</v>
      </c>
      <c r="F43" s="29" t="s">
        <v>684</v>
      </c>
      <c r="G43" s="49" t="s">
        <v>14</v>
      </c>
      <c r="H43" s="43" t="s">
        <v>930</v>
      </c>
      <c r="I43" s="49" t="s">
        <v>915</v>
      </c>
      <c r="J43" s="43"/>
      <c r="K43" s="39" t="s">
        <v>32</v>
      </c>
      <c r="L43" s="37" t="s">
        <v>243</v>
      </c>
      <c r="M43" s="29" t="s">
        <v>289</v>
      </c>
      <c r="N43" s="29"/>
      <c r="O43" s="34">
        <v>30927</v>
      </c>
      <c r="P43" s="35">
        <v>38.731506849315068</v>
      </c>
      <c r="Q43" s="29" t="s">
        <v>18</v>
      </c>
      <c r="R43" s="29" t="s">
        <v>107</v>
      </c>
      <c r="S43" s="29" t="s">
        <v>24</v>
      </c>
      <c r="T43" s="33" t="s">
        <v>272</v>
      </c>
      <c r="U43" s="29" t="s">
        <v>120</v>
      </c>
      <c r="V43" s="36" t="s">
        <v>766</v>
      </c>
      <c r="W43" s="101"/>
      <c r="X43" s="91"/>
      <c r="Y43" s="92" t="s">
        <v>903</v>
      </c>
      <c r="Z43" s="93"/>
      <c r="AA43" s="149">
        <v>46063</v>
      </c>
      <c r="AB43" s="146">
        <v>46180</v>
      </c>
      <c r="AC43" s="156" t="s">
        <v>672</v>
      </c>
    </row>
    <row r="44" spans="1:29" ht="20.100000000000001" customHeight="1">
      <c r="A44" s="26">
        <f ca="1">IF(P44&lt;"",ROW()-1,"")</f>
        <v>43</v>
      </c>
      <c r="B44" s="42">
        <f>IF(ISBLANK(D44),0,IF(F44&lt;&gt;F43,1,1+B43))</f>
        <v>18</v>
      </c>
      <c r="C44" s="27" t="s">
        <v>386</v>
      </c>
      <c r="D44" s="109">
        <v>316753540</v>
      </c>
      <c r="E44" s="28" t="s">
        <v>82</v>
      </c>
      <c r="F44" s="29" t="s">
        <v>684</v>
      </c>
      <c r="G44" s="30" t="s">
        <v>22</v>
      </c>
      <c r="H44" s="31" t="s">
        <v>977</v>
      </c>
      <c r="I44" s="30" t="s">
        <v>969</v>
      </c>
      <c r="J44" s="31"/>
      <c r="K44" s="30" t="s">
        <v>32</v>
      </c>
      <c r="L44" s="37" t="s">
        <v>416</v>
      </c>
      <c r="M44" s="29" t="s">
        <v>114</v>
      </c>
      <c r="N44" s="29"/>
      <c r="O44" s="34">
        <v>33505</v>
      </c>
      <c r="P44" s="35">
        <f ca="1">(TODAY()-O44)/365</f>
        <v>34.769863013698632</v>
      </c>
      <c r="Q44" s="29" t="s">
        <v>23</v>
      </c>
      <c r="R44" s="29" t="s">
        <v>115</v>
      </c>
      <c r="S44" s="29" t="s">
        <v>24</v>
      </c>
      <c r="T44" s="33" t="s">
        <v>116</v>
      </c>
      <c r="U44" s="29"/>
      <c r="V44" s="36"/>
      <c r="W44" s="101" t="s">
        <v>1023</v>
      </c>
      <c r="X44" s="91"/>
      <c r="Y44" s="92" t="s">
        <v>903</v>
      </c>
      <c r="Z44" s="93"/>
      <c r="AA44" s="149">
        <v>42863</v>
      </c>
      <c r="AB44" s="146">
        <v>46012</v>
      </c>
      <c r="AC44" s="152" t="s">
        <v>674</v>
      </c>
    </row>
    <row r="45" spans="1:29" ht="20.100000000000001" customHeight="1">
      <c r="A45" s="26">
        <f>IF(P45&lt;"",ROW()-1,"")</f>
        <v>44</v>
      </c>
      <c r="B45" s="42">
        <f>IF(ISBLANK(D45),0,IF(F45&lt;&gt;F44,1,1+B44))</f>
        <v>19</v>
      </c>
      <c r="C45" s="116" t="s">
        <v>891</v>
      </c>
      <c r="D45" s="117">
        <v>40108110</v>
      </c>
      <c r="E45" s="28" t="s">
        <v>82</v>
      </c>
      <c r="F45" s="29" t="s">
        <v>684</v>
      </c>
      <c r="G45" s="30" t="s">
        <v>14</v>
      </c>
      <c r="H45" s="31" t="s">
        <v>957</v>
      </c>
      <c r="I45" s="30" t="s">
        <v>958</v>
      </c>
      <c r="J45" s="31" t="s">
        <v>16</v>
      </c>
      <c r="K45" s="30" t="s">
        <v>32</v>
      </c>
      <c r="L45" s="37" t="s">
        <v>892</v>
      </c>
      <c r="M45" s="29" t="s">
        <v>893</v>
      </c>
      <c r="N45" s="29"/>
      <c r="O45" s="34">
        <v>29313</v>
      </c>
      <c r="P45" s="35">
        <v>46.136986301369866</v>
      </c>
      <c r="Q45" s="29" t="s">
        <v>126</v>
      </c>
      <c r="R45" s="29" t="s">
        <v>900</v>
      </c>
      <c r="S45" s="29" t="s">
        <v>24</v>
      </c>
      <c r="T45" s="33" t="s">
        <v>894</v>
      </c>
      <c r="U45" s="29"/>
      <c r="V45" s="55"/>
      <c r="W45" s="102" t="s">
        <v>1023</v>
      </c>
      <c r="X45" s="91"/>
      <c r="Y45" s="92"/>
      <c r="Z45" s="93" t="s">
        <v>903</v>
      </c>
      <c r="AA45" s="149">
        <v>46096</v>
      </c>
      <c r="AB45" s="146">
        <v>46152</v>
      </c>
      <c r="AC45" s="152" t="s">
        <v>672</v>
      </c>
    </row>
    <row r="46" spans="1:29" ht="20.100000000000001" customHeight="1">
      <c r="A46" s="26">
        <f ca="1">IF(P46&lt;"",ROW()-1,"")</f>
        <v>45</v>
      </c>
      <c r="B46" s="42">
        <f>IF(ISBLANK(D46),0,IF(F46&lt;&gt;F45,1,1+B45))</f>
        <v>20</v>
      </c>
      <c r="C46" s="27" t="s">
        <v>692</v>
      </c>
      <c r="D46" s="109">
        <v>310366547</v>
      </c>
      <c r="E46" s="27" t="s">
        <v>82</v>
      </c>
      <c r="F46" s="29" t="s">
        <v>684</v>
      </c>
      <c r="G46" s="49" t="s">
        <v>14</v>
      </c>
      <c r="H46" s="43" t="s">
        <v>1046</v>
      </c>
      <c r="I46" s="49" t="s">
        <v>1045</v>
      </c>
      <c r="J46" s="31"/>
      <c r="K46" s="39" t="s">
        <v>32</v>
      </c>
      <c r="L46" s="37" t="s">
        <v>693</v>
      </c>
      <c r="M46" s="29" t="s">
        <v>694</v>
      </c>
      <c r="N46" s="29"/>
      <c r="O46" s="34">
        <v>33817</v>
      </c>
      <c r="P46" s="35">
        <f ca="1">(TODAY()-O46)/365</f>
        <v>33.915068493150685</v>
      </c>
      <c r="Q46" s="29" t="s">
        <v>46</v>
      </c>
      <c r="R46" s="29" t="s">
        <v>818</v>
      </c>
      <c r="S46" s="29" t="s">
        <v>46</v>
      </c>
      <c r="T46" s="33" t="s">
        <v>819</v>
      </c>
      <c r="U46" s="29" t="s">
        <v>1090</v>
      </c>
      <c r="V46" s="36" t="s">
        <v>1091</v>
      </c>
      <c r="W46" s="101"/>
      <c r="X46" s="91"/>
      <c r="Y46" s="92" t="s">
        <v>903</v>
      </c>
      <c r="Z46" s="93"/>
      <c r="AA46" s="149">
        <v>45837</v>
      </c>
      <c r="AB46" s="146"/>
      <c r="AC46" s="152" t="s">
        <v>674</v>
      </c>
    </row>
    <row r="47" spans="1:29" ht="20.100000000000001" customHeight="1">
      <c r="A47" s="26">
        <f ca="1">IF(P47&lt;"",ROW()-1,"")</f>
        <v>46</v>
      </c>
      <c r="B47" s="42">
        <f>IF(ISBLANK(D47),0,IF(F47&lt;&gt;F46,1,1+B46))</f>
        <v>21</v>
      </c>
      <c r="C47" s="27" t="s">
        <v>233</v>
      </c>
      <c r="D47" s="109">
        <v>323656678</v>
      </c>
      <c r="E47" s="28" t="s">
        <v>82</v>
      </c>
      <c r="F47" s="29" t="s">
        <v>684</v>
      </c>
      <c r="G47" s="30" t="s">
        <v>14</v>
      </c>
      <c r="H47" s="31" t="s">
        <v>967</v>
      </c>
      <c r="I47" s="30" t="s">
        <v>909</v>
      </c>
      <c r="J47" s="31"/>
      <c r="K47" s="30" t="s">
        <v>32</v>
      </c>
      <c r="L47" s="32" t="s">
        <v>334</v>
      </c>
      <c r="M47" s="29" t="s">
        <v>290</v>
      </c>
      <c r="N47" s="29" t="s">
        <v>301</v>
      </c>
      <c r="O47" s="34">
        <v>20815</v>
      </c>
      <c r="P47" s="35">
        <f ca="1">(TODAY()-O47)/365</f>
        <v>69.536986301369865</v>
      </c>
      <c r="Q47" s="29" t="s">
        <v>144</v>
      </c>
      <c r="R47" s="29" t="s">
        <v>820</v>
      </c>
      <c r="S47" s="29" t="s">
        <v>29</v>
      </c>
      <c r="T47" s="33">
        <v>549334084</v>
      </c>
      <c r="U47" s="29" t="s">
        <v>1070</v>
      </c>
      <c r="V47" s="36" t="s">
        <v>887</v>
      </c>
      <c r="W47" s="101"/>
      <c r="X47" s="91" t="s">
        <v>903</v>
      </c>
      <c r="Y47" s="92"/>
      <c r="Z47" s="93"/>
      <c r="AA47" s="149">
        <v>42169</v>
      </c>
      <c r="AB47" s="146">
        <v>45070</v>
      </c>
      <c r="AC47" s="152" t="s">
        <v>672</v>
      </c>
    </row>
    <row r="48" spans="1:29" ht="20.100000000000001" customHeight="1">
      <c r="A48" s="26">
        <f ca="1">IF(P48&lt;"",ROW()-1,"")</f>
        <v>47</v>
      </c>
      <c r="B48" s="42">
        <f>IF(ISBLANK(D48),0,IF(F48&lt;&gt;F47,1,1+B47))</f>
        <v>22</v>
      </c>
      <c r="C48" s="27" t="s">
        <v>413</v>
      </c>
      <c r="D48" s="109">
        <v>310234844</v>
      </c>
      <c r="E48" s="28" t="s">
        <v>82</v>
      </c>
      <c r="F48" s="29" t="s">
        <v>684</v>
      </c>
      <c r="G48" s="30" t="s">
        <v>14</v>
      </c>
      <c r="H48" s="31" t="s">
        <v>978</v>
      </c>
      <c r="I48" s="30" t="s">
        <v>979</v>
      </c>
      <c r="J48" s="61" t="s">
        <v>31</v>
      </c>
      <c r="K48" s="30" t="s">
        <v>32</v>
      </c>
      <c r="L48" s="37" t="s">
        <v>140</v>
      </c>
      <c r="M48" s="29" t="s">
        <v>148</v>
      </c>
      <c r="N48" s="62"/>
      <c r="O48" s="34">
        <v>26212</v>
      </c>
      <c r="P48" s="35">
        <f ca="1">(TODAY()-O48)/365</f>
        <v>54.750684931506846</v>
      </c>
      <c r="Q48" s="29" t="s">
        <v>24</v>
      </c>
      <c r="R48" s="29" t="s">
        <v>160</v>
      </c>
      <c r="S48" s="29" t="s">
        <v>24</v>
      </c>
      <c r="T48" s="33" t="s">
        <v>155</v>
      </c>
      <c r="U48" s="29" t="s">
        <v>821</v>
      </c>
      <c r="V48" s="36">
        <v>533240046</v>
      </c>
      <c r="W48" s="101"/>
      <c r="X48" s="91" t="s">
        <v>903</v>
      </c>
      <c r="Y48" s="92"/>
      <c r="Z48" s="93"/>
      <c r="AA48" s="149">
        <v>43709</v>
      </c>
      <c r="AB48" s="146">
        <v>44948</v>
      </c>
      <c r="AC48" s="152" t="s">
        <v>674</v>
      </c>
    </row>
    <row r="49" spans="1:29" ht="20.100000000000001" customHeight="1">
      <c r="A49" s="26">
        <f ca="1">IF(P49&lt;"",ROW()-1,"")</f>
        <v>48</v>
      </c>
      <c r="B49" s="42">
        <f>IF(ISBLANK(D49),0,IF(F49&lt;&gt;F48,1,1+B48))</f>
        <v>23</v>
      </c>
      <c r="C49" s="27" t="s">
        <v>888</v>
      </c>
      <c r="D49" s="109">
        <v>212953095</v>
      </c>
      <c r="E49" s="28" t="s">
        <v>82</v>
      </c>
      <c r="F49" s="29" t="s">
        <v>684</v>
      </c>
      <c r="G49" s="49" t="s">
        <v>363</v>
      </c>
      <c r="H49" s="43" t="s">
        <v>1001</v>
      </c>
      <c r="I49" s="49" t="s">
        <v>1002</v>
      </c>
      <c r="J49" s="43" t="s">
        <v>90</v>
      </c>
      <c r="K49" s="39" t="s">
        <v>32</v>
      </c>
      <c r="L49" s="63" t="s">
        <v>827</v>
      </c>
      <c r="M49" s="29" t="s">
        <v>889</v>
      </c>
      <c r="N49" s="29"/>
      <c r="O49" s="34">
        <v>37441</v>
      </c>
      <c r="P49" s="35">
        <f ca="1">(TODAY()-O49)/365</f>
        <v>23.986301369863014</v>
      </c>
      <c r="Q49" s="29" t="s">
        <v>144</v>
      </c>
      <c r="R49" s="29" t="s">
        <v>24</v>
      </c>
      <c r="S49" s="29" t="s">
        <v>570</v>
      </c>
      <c r="T49" s="33" t="s">
        <v>890</v>
      </c>
      <c r="U49" s="29" t="s">
        <v>1092</v>
      </c>
      <c r="V49" s="36" t="s">
        <v>1093</v>
      </c>
      <c r="W49" s="101"/>
      <c r="X49" s="91" t="s">
        <v>903</v>
      </c>
      <c r="Y49" s="92"/>
      <c r="Z49" s="93"/>
      <c r="AA49" s="149">
        <v>46091</v>
      </c>
      <c r="AB49" s="146"/>
      <c r="AC49" s="152" t="s">
        <v>674</v>
      </c>
    </row>
    <row r="50" spans="1:29" ht="20.100000000000001" customHeight="1">
      <c r="A50" s="26">
        <f ca="1">IF(P50&lt;"",ROW()-1,"")</f>
        <v>49</v>
      </c>
      <c r="B50" s="114">
        <f>IF(ISBLANK(D50),0,IF(F50&lt;&gt;F49,1,1+B49))</f>
        <v>24</v>
      </c>
      <c r="C50" s="27" t="s">
        <v>369</v>
      </c>
      <c r="D50" s="112">
        <v>332687631</v>
      </c>
      <c r="E50" s="28" t="s">
        <v>82</v>
      </c>
      <c r="F50" s="29" t="s">
        <v>684</v>
      </c>
      <c r="G50" s="39" t="s">
        <v>14</v>
      </c>
      <c r="H50" s="51" t="s">
        <v>967</v>
      </c>
      <c r="I50" s="39" t="s">
        <v>909</v>
      </c>
      <c r="J50" s="51"/>
      <c r="K50" s="39" t="s">
        <v>32</v>
      </c>
      <c r="L50" s="32" t="s">
        <v>334</v>
      </c>
      <c r="M50" s="29" t="s">
        <v>417</v>
      </c>
      <c r="N50" s="44"/>
      <c r="O50" s="34">
        <v>28676</v>
      </c>
      <c r="P50" s="35">
        <f ca="1">(TODAY()-O50)/365</f>
        <v>48</v>
      </c>
      <c r="Q50" s="29" t="s">
        <v>144</v>
      </c>
      <c r="R50" s="44" t="s">
        <v>120</v>
      </c>
      <c r="S50" s="44" t="s">
        <v>221</v>
      </c>
      <c r="T50" s="52" t="s">
        <v>418</v>
      </c>
      <c r="U50" s="29" t="s">
        <v>1070</v>
      </c>
      <c r="V50" s="36" t="s">
        <v>887</v>
      </c>
      <c r="W50" s="101"/>
      <c r="X50" s="91" t="s">
        <v>903</v>
      </c>
      <c r="Y50" s="92"/>
      <c r="Z50" s="93"/>
      <c r="AA50" s="149">
        <v>44076</v>
      </c>
      <c r="AB50" s="146">
        <v>45504</v>
      </c>
      <c r="AC50" s="157" t="s">
        <v>672</v>
      </c>
    </row>
    <row r="51" spans="1:29" ht="20.100000000000001" customHeight="1">
      <c r="A51" s="26">
        <f ca="1">IF(P51&lt;"",ROW()-1,"")</f>
        <v>50</v>
      </c>
      <c r="B51" s="42">
        <f>IF(ISBLANK(D51),0,IF(F51&lt;&gt;F50,1,1+B50))</f>
        <v>25</v>
      </c>
      <c r="C51" s="27" t="s">
        <v>1109</v>
      </c>
      <c r="D51" s="109">
        <v>306514811</v>
      </c>
      <c r="E51" s="27" t="s">
        <v>82</v>
      </c>
      <c r="F51" s="29" t="s">
        <v>684</v>
      </c>
      <c r="G51" s="30" t="s">
        <v>14</v>
      </c>
      <c r="H51" s="31" t="s">
        <v>1019</v>
      </c>
      <c r="I51" s="30" t="s">
        <v>1020</v>
      </c>
      <c r="J51" s="31"/>
      <c r="K51" s="39" t="s">
        <v>32</v>
      </c>
      <c r="L51" s="85" t="s">
        <v>859</v>
      </c>
      <c r="M51" s="44" t="s">
        <v>696</v>
      </c>
      <c r="N51" s="44"/>
      <c r="O51" s="34">
        <v>25980</v>
      </c>
      <c r="P51" s="35">
        <f ca="1">(TODAY()-O51)/365</f>
        <v>55.386301369863013</v>
      </c>
      <c r="Q51" s="29" t="s">
        <v>787</v>
      </c>
      <c r="R51" s="29" t="s">
        <v>624</v>
      </c>
      <c r="S51" s="29" t="s">
        <v>46</v>
      </c>
      <c r="T51" s="33" t="s">
        <v>625</v>
      </c>
      <c r="U51" s="29" t="s">
        <v>1021</v>
      </c>
      <c r="V51" s="55" t="s">
        <v>1022</v>
      </c>
      <c r="W51" s="102"/>
      <c r="X51" s="91" t="s">
        <v>903</v>
      </c>
      <c r="Y51" s="92"/>
      <c r="Z51" s="93"/>
      <c r="AA51" s="149">
        <v>45414</v>
      </c>
      <c r="AB51" s="146"/>
      <c r="AC51" s="152" t="s">
        <v>674</v>
      </c>
    </row>
    <row r="52" spans="1:29" ht="20.100000000000001" customHeight="1">
      <c r="A52" s="26">
        <f ca="1">IF(P52&lt;"",ROW()-1,"")</f>
        <v>51</v>
      </c>
      <c r="B52" s="42">
        <f>IF(ISBLANK(D52),0,IF(F52&lt;&gt;F51,1,1+B51))</f>
        <v>26</v>
      </c>
      <c r="C52" s="27" t="s">
        <v>660</v>
      </c>
      <c r="D52" s="109">
        <v>328590674</v>
      </c>
      <c r="E52" s="28" t="s">
        <v>82</v>
      </c>
      <c r="F52" s="29" t="s">
        <v>684</v>
      </c>
      <c r="G52" s="30" t="s">
        <v>14</v>
      </c>
      <c r="H52" s="31" t="s">
        <v>967</v>
      </c>
      <c r="I52" s="30" t="s">
        <v>909</v>
      </c>
      <c r="J52" s="31"/>
      <c r="K52" s="30" t="s">
        <v>32</v>
      </c>
      <c r="L52" s="32" t="s">
        <v>334</v>
      </c>
      <c r="M52" s="29" t="s">
        <v>333</v>
      </c>
      <c r="N52" s="29"/>
      <c r="O52" s="34">
        <v>22617</v>
      </c>
      <c r="P52" s="35">
        <f ca="1">(TODAY()-O52)/365</f>
        <v>64.599999999999994</v>
      </c>
      <c r="Q52" s="29" t="s">
        <v>144</v>
      </c>
      <c r="R52" s="29"/>
      <c r="S52" s="29"/>
      <c r="T52" s="33"/>
      <c r="U52" s="29" t="s">
        <v>1070</v>
      </c>
      <c r="V52" s="36" t="s">
        <v>887</v>
      </c>
      <c r="W52" s="101"/>
      <c r="X52" s="91" t="s">
        <v>903</v>
      </c>
      <c r="Y52" s="92"/>
      <c r="Z52" s="93"/>
      <c r="AA52" s="149">
        <v>44593</v>
      </c>
      <c r="AB52" s="146">
        <v>45977</v>
      </c>
      <c r="AC52" s="152" t="s">
        <v>674</v>
      </c>
    </row>
    <row r="53" spans="1:29" ht="20.100000000000001" customHeight="1">
      <c r="A53" s="26">
        <f ca="1">IF(P53&lt;"",ROW()-1,"")</f>
        <v>52</v>
      </c>
      <c r="B53" s="114">
        <f>IF(ISBLANK(D53),0,IF(F53&lt;&gt;F52,1,1+B52))</f>
        <v>1</v>
      </c>
      <c r="C53" s="116" t="s">
        <v>654</v>
      </c>
      <c r="D53" s="109">
        <v>306559402</v>
      </c>
      <c r="E53" s="64" t="s">
        <v>234</v>
      </c>
      <c r="F53" s="29" t="s">
        <v>574</v>
      </c>
      <c r="G53" s="30" t="s">
        <v>22</v>
      </c>
      <c r="H53" s="31" t="s">
        <v>907</v>
      </c>
      <c r="I53" s="30" t="s">
        <v>936</v>
      </c>
      <c r="J53" s="43" t="s">
        <v>90</v>
      </c>
      <c r="K53" s="39" t="s">
        <v>32</v>
      </c>
      <c r="L53" s="37" t="s">
        <v>585</v>
      </c>
      <c r="M53" s="122" t="s">
        <v>586</v>
      </c>
      <c r="N53" s="122"/>
      <c r="O53" s="126">
        <v>26929</v>
      </c>
      <c r="P53" s="35">
        <f ca="1">(TODAY()-O53)/365</f>
        <v>52.786301369863011</v>
      </c>
      <c r="Q53" s="122" t="s">
        <v>587</v>
      </c>
      <c r="R53" s="122" t="s">
        <v>782</v>
      </c>
      <c r="S53" s="29" t="s">
        <v>783</v>
      </c>
      <c r="T53" s="124" t="s">
        <v>784</v>
      </c>
      <c r="U53" s="122"/>
      <c r="V53" s="127"/>
      <c r="W53" s="101"/>
      <c r="X53" s="128" t="s">
        <v>903</v>
      </c>
      <c r="Y53" s="129"/>
      <c r="Z53" s="130"/>
      <c r="AA53" s="149">
        <f>VLOOKUP(D53,[1]nohahut!$B:$D,3,0)</f>
        <v>45710</v>
      </c>
      <c r="AB53" s="146"/>
      <c r="AC53" s="152" t="s">
        <v>674</v>
      </c>
    </row>
    <row r="54" spans="1:29" ht="20.100000000000001" customHeight="1">
      <c r="A54" s="26">
        <f ca="1">IF(P54&lt;"",ROW()-1,"")</f>
        <v>53</v>
      </c>
      <c r="B54" s="42">
        <f>IF(ISBLANK(D54),0,IF(F54&lt;&gt;F53,1,1+B53))</f>
        <v>2</v>
      </c>
      <c r="C54" s="27" t="s">
        <v>481</v>
      </c>
      <c r="D54" s="109">
        <v>59041954</v>
      </c>
      <c r="E54" s="64" t="s">
        <v>234</v>
      </c>
      <c r="F54" s="29" t="s">
        <v>574</v>
      </c>
      <c r="G54" s="30" t="s">
        <v>14</v>
      </c>
      <c r="H54" s="31" t="s">
        <v>908</v>
      </c>
      <c r="I54" s="30" t="s">
        <v>909</v>
      </c>
      <c r="J54" s="43" t="s">
        <v>438</v>
      </c>
      <c r="K54" s="30" t="s">
        <v>19</v>
      </c>
      <c r="L54" s="37" t="s">
        <v>444</v>
      </c>
      <c r="M54" s="29" t="s">
        <v>437</v>
      </c>
      <c r="N54" s="29"/>
      <c r="O54" s="34">
        <v>23672</v>
      </c>
      <c r="P54" s="35">
        <f ca="1">(TODAY()-O54)/365</f>
        <v>61.709589041095889</v>
      </c>
      <c r="Q54" s="29" t="s">
        <v>769</v>
      </c>
      <c r="R54" s="29"/>
      <c r="S54" s="29"/>
      <c r="T54" s="33"/>
      <c r="U54" s="29" t="s">
        <v>107</v>
      </c>
      <c r="V54" s="36"/>
      <c r="W54" s="101"/>
      <c r="X54" s="91"/>
      <c r="Y54" s="92" t="s">
        <v>903</v>
      </c>
      <c r="Z54" s="93"/>
      <c r="AA54" s="149">
        <v>44927</v>
      </c>
      <c r="AB54" s="146"/>
      <c r="AC54" s="152" t="s">
        <v>674</v>
      </c>
    </row>
    <row r="55" spans="1:29" ht="20.100000000000001" customHeight="1">
      <c r="A55" s="26">
        <f ca="1">IF(P55&lt;"",ROW()-1,"")</f>
        <v>54</v>
      </c>
      <c r="B55" s="114">
        <f>IF(ISBLANK(D55),0,IF(F55&lt;&gt;F54,1,1+B54))</f>
        <v>3</v>
      </c>
      <c r="C55" s="27" t="s">
        <v>397</v>
      </c>
      <c r="D55" s="109">
        <v>67840405</v>
      </c>
      <c r="E55" s="64" t="s">
        <v>234</v>
      </c>
      <c r="F55" s="29" t="s">
        <v>574</v>
      </c>
      <c r="G55" s="39" t="s">
        <v>363</v>
      </c>
      <c r="H55" s="51" t="s">
        <v>910</v>
      </c>
      <c r="I55" s="39" t="s">
        <v>294</v>
      </c>
      <c r="J55" s="31" t="s">
        <v>336</v>
      </c>
      <c r="K55" s="30" t="s">
        <v>19</v>
      </c>
      <c r="L55" s="37" t="s">
        <v>244</v>
      </c>
      <c r="M55" s="29" t="s">
        <v>294</v>
      </c>
      <c r="N55" s="29"/>
      <c r="O55" s="34">
        <v>21673</v>
      </c>
      <c r="P55" s="35">
        <f ca="1">(TODAY()-O55)/365</f>
        <v>67.186301369863017</v>
      </c>
      <c r="Q55" s="29" t="s">
        <v>20</v>
      </c>
      <c r="R55" s="29" t="s">
        <v>251</v>
      </c>
      <c r="S55" s="29" t="s">
        <v>29</v>
      </c>
      <c r="T55" s="33" t="s">
        <v>273</v>
      </c>
      <c r="U55" s="29"/>
      <c r="V55" s="36" t="s">
        <v>271</v>
      </c>
      <c r="W55" s="101"/>
      <c r="X55" s="91"/>
      <c r="Y55" s="92"/>
      <c r="Z55" s="93" t="s">
        <v>903</v>
      </c>
      <c r="AA55" s="149">
        <v>44475</v>
      </c>
      <c r="AB55" s="146"/>
      <c r="AC55" s="152" t="s">
        <v>674</v>
      </c>
    </row>
    <row r="56" spans="1:29" ht="20.100000000000001" customHeight="1">
      <c r="A56" s="26">
        <f ca="1">IF(P56&lt;"",ROW()-1,"")</f>
        <v>55</v>
      </c>
      <c r="B56" s="42">
        <f>IF(ISBLANK(D56),0,IF(F56&lt;&gt;F55,1,1+B55))</f>
        <v>4</v>
      </c>
      <c r="C56" s="27" t="s">
        <v>649</v>
      </c>
      <c r="D56" s="109">
        <v>28380228</v>
      </c>
      <c r="E56" s="28" t="s">
        <v>82</v>
      </c>
      <c r="F56" s="29" t="s">
        <v>574</v>
      </c>
      <c r="G56" s="30" t="s">
        <v>22</v>
      </c>
      <c r="H56" s="31" t="s">
        <v>911</v>
      </c>
      <c r="I56" s="30" t="s">
        <v>912</v>
      </c>
      <c r="J56" s="31"/>
      <c r="K56" s="30" t="s">
        <v>32</v>
      </c>
      <c r="L56" s="37" t="s">
        <v>357</v>
      </c>
      <c r="M56" s="29" t="s">
        <v>390</v>
      </c>
      <c r="N56" s="29"/>
      <c r="O56" s="34">
        <v>26192</v>
      </c>
      <c r="P56" s="35">
        <f ca="1">(TODAY()-O56)/365</f>
        <v>54.805479452054797</v>
      </c>
      <c r="Q56" s="29"/>
      <c r="R56" s="29"/>
      <c r="S56" s="29" t="s">
        <v>358</v>
      </c>
      <c r="T56" s="65" t="s">
        <v>359</v>
      </c>
      <c r="U56" s="29" t="s">
        <v>1094</v>
      </c>
      <c r="V56" s="36" t="s">
        <v>1095</v>
      </c>
      <c r="W56" s="141"/>
      <c r="X56" s="91"/>
      <c r="Y56" s="92" t="s">
        <v>903</v>
      </c>
      <c r="Z56" s="93"/>
      <c r="AA56" s="149">
        <v>44161</v>
      </c>
      <c r="AB56" s="146">
        <v>45112</v>
      </c>
      <c r="AC56" s="152" t="s">
        <v>674</v>
      </c>
    </row>
    <row r="57" spans="1:29" ht="20.100000000000001" customHeight="1">
      <c r="A57" s="26">
        <f ca="1">IF(P57&lt;"",ROW()-1,"")</f>
        <v>56</v>
      </c>
      <c r="B57" s="42">
        <f>IF(ISBLANK(D57),0,IF(F57&lt;&gt;F56,1,1+B56))</f>
        <v>5</v>
      </c>
      <c r="C57" s="27" t="s">
        <v>382</v>
      </c>
      <c r="D57" s="109">
        <v>27007889</v>
      </c>
      <c r="E57" s="28" t="s">
        <v>82</v>
      </c>
      <c r="F57" s="29" t="s">
        <v>574</v>
      </c>
      <c r="G57" s="30" t="s">
        <v>14</v>
      </c>
      <c r="H57" s="31" t="s">
        <v>914</v>
      </c>
      <c r="I57" s="30" t="s">
        <v>915</v>
      </c>
      <c r="J57" s="31" t="s">
        <v>318</v>
      </c>
      <c r="K57" s="30" t="s">
        <v>32</v>
      </c>
      <c r="L57" s="37" t="s">
        <v>236</v>
      </c>
      <c r="M57" s="29" t="s">
        <v>278</v>
      </c>
      <c r="N57" s="29" t="s">
        <v>298</v>
      </c>
      <c r="O57" s="34">
        <v>19725</v>
      </c>
      <c r="P57" s="35">
        <f ca="1">(TODAY()-O57)/365</f>
        <v>72.523287671232879</v>
      </c>
      <c r="Q57" s="29" t="s">
        <v>20</v>
      </c>
      <c r="R57" s="66" t="s">
        <v>246</v>
      </c>
      <c r="S57" s="29" t="s">
        <v>28</v>
      </c>
      <c r="T57" s="33" t="s">
        <v>268</v>
      </c>
      <c r="U57" s="29" t="s">
        <v>755</v>
      </c>
      <c r="V57" s="36" t="s">
        <v>759</v>
      </c>
      <c r="W57" s="101"/>
      <c r="X57" s="91"/>
      <c r="Y57" s="92" t="s">
        <v>903</v>
      </c>
      <c r="Z57" s="93"/>
      <c r="AA57" s="149">
        <v>41640</v>
      </c>
      <c r="AB57" s="146">
        <v>46054</v>
      </c>
      <c r="AC57" s="152" t="s">
        <v>672</v>
      </c>
    </row>
    <row r="58" spans="1:29" ht="20.100000000000001" customHeight="1">
      <c r="A58" s="26">
        <f ca="1">IF(P58&lt;"",ROW()-1,"")</f>
        <v>57</v>
      </c>
      <c r="B58" s="42">
        <f>IF(ISBLANK(D58),0,IF(F58&lt;&gt;F57,1,1+B57))</f>
        <v>6</v>
      </c>
      <c r="C58" s="27" t="s">
        <v>504</v>
      </c>
      <c r="D58" s="109">
        <v>309642668</v>
      </c>
      <c r="E58" s="28" t="s">
        <v>82</v>
      </c>
      <c r="F58" s="29" t="s">
        <v>574</v>
      </c>
      <c r="G58" s="30" t="s">
        <v>22</v>
      </c>
      <c r="H58" s="31" t="s">
        <v>916</v>
      </c>
      <c r="I58" s="30" t="s">
        <v>917</v>
      </c>
      <c r="J58" s="31"/>
      <c r="K58" s="30" t="s">
        <v>32</v>
      </c>
      <c r="L58" s="37" t="s">
        <v>138</v>
      </c>
      <c r="M58" s="29" t="s">
        <v>145</v>
      </c>
      <c r="N58" s="29"/>
      <c r="O58" s="34">
        <v>29544</v>
      </c>
      <c r="P58" s="35">
        <f ca="1">(TODAY()-O58)/365</f>
        <v>45.62191780821918</v>
      </c>
      <c r="Q58" s="29" t="s">
        <v>23</v>
      </c>
      <c r="R58" s="29" t="s">
        <v>760</v>
      </c>
      <c r="S58" s="29" t="s">
        <v>761</v>
      </c>
      <c r="T58" s="33" t="s">
        <v>762</v>
      </c>
      <c r="U58" s="29" t="s">
        <v>1081</v>
      </c>
      <c r="V58" s="36">
        <v>526506211</v>
      </c>
      <c r="W58" s="101"/>
      <c r="X58" s="91"/>
      <c r="Y58" s="92" t="s">
        <v>903</v>
      </c>
      <c r="Z58" s="93"/>
      <c r="AA58" s="149">
        <v>41640</v>
      </c>
      <c r="AB58" s="146">
        <v>46127</v>
      </c>
      <c r="AC58" s="152" t="s">
        <v>674</v>
      </c>
    </row>
    <row r="59" spans="1:29" ht="20.100000000000001" customHeight="1">
      <c r="A59" s="26">
        <f ca="1">IF(P59&lt;"",ROW()-1,"")</f>
        <v>58</v>
      </c>
      <c r="B59" s="42">
        <f>IF(ISBLANK(D59),0,IF(F59&lt;&gt;F58,1,1+B58))</f>
        <v>7</v>
      </c>
      <c r="C59" s="143" t="s">
        <v>1053</v>
      </c>
      <c r="D59" s="113">
        <v>66449331</v>
      </c>
      <c r="E59" s="28" t="s">
        <v>82</v>
      </c>
      <c r="F59" s="29" t="s">
        <v>574</v>
      </c>
      <c r="G59" s="49" t="s">
        <v>88</v>
      </c>
      <c r="H59" s="43" t="s">
        <v>1105</v>
      </c>
      <c r="I59" s="49" t="s">
        <v>1106</v>
      </c>
      <c r="J59" s="43"/>
      <c r="K59" s="39" t="s">
        <v>32</v>
      </c>
      <c r="L59" s="37" t="s">
        <v>1107</v>
      </c>
      <c r="M59" s="44" t="s">
        <v>1054</v>
      </c>
      <c r="N59" s="29"/>
      <c r="O59" s="34">
        <v>34555</v>
      </c>
      <c r="P59" s="35">
        <f ca="1">(TODAY()-O59)/365</f>
        <v>31.893150684931506</v>
      </c>
      <c r="Q59" s="122" t="s">
        <v>1055</v>
      </c>
      <c r="R59" s="29" t="s">
        <v>1056</v>
      </c>
      <c r="S59" s="29" t="s">
        <v>46</v>
      </c>
      <c r="T59" s="33" t="s">
        <v>1057</v>
      </c>
      <c r="U59" s="29" t="s">
        <v>107</v>
      </c>
      <c r="V59" s="36" t="s">
        <v>271</v>
      </c>
      <c r="W59" s="101"/>
      <c r="X59" s="91"/>
      <c r="Y59" s="129" t="s">
        <v>903</v>
      </c>
      <c r="Z59" s="93"/>
      <c r="AA59" s="149">
        <v>46174</v>
      </c>
      <c r="AB59" s="146"/>
      <c r="AC59" s="152" t="s">
        <v>674</v>
      </c>
    </row>
    <row r="60" spans="1:29" ht="23.25" customHeight="1">
      <c r="A60" s="26">
        <f ca="1">IF(P60&lt;"",ROW()-1,"")</f>
        <v>59</v>
      </c>
      <c r="B60" s="114">
        <f>IF(ISBLANK(D60),0,IF(F60&lt;&gt;F59,1,1+B59))</f>
        <v>8</v>
      </c>
      <c r="C60" s="27" t="s">
        <v>87</v>
      </c>
      <c r="D60" s="109">
        <v>17129974</v>
      </c>
      <c r="E60" s="28" t="s">
        <v>82</v>
      </c>
      <c r="F60" s="29" t="s">
        <v>574</v>
      </c>
      <c r="G60" s="30" t="s">
        <v>14</v>
      </c>
      <c r="H60" s="31" t="s">
        <v>1003</v>
      </c>
      <c r="I60" s="30" t="s">
        <v>920</v>
      </c>
      <c r="J60" s="51"/>
      <c r="K60" s="30" t="s">
        <v>32</v>
      </c>
      <c r="L60" s="37" t="s">
        <v>127</v>
      </c>
      <c r="M60" s="29" t="s">
        <v>128</v>
      </c>
      <c r="N60" s="29"/>
      <c r="O60" s="34">
        <v>25330</v>
      </c>
      <c r="P60" s="35">
        <f ca="1">(TODAY()-O60)/365</f>
        <v>57.167123287671231</v>
      </c>
      <c r="Q60" s="29" t="s">
        <v>129</v>
      </c>
      <c r="R60" s="29" t="s">
        <v>763</v>
      </c>
      <c r="S60" s="29" t="s">
        <v>221</v>
      </c>
      <c r="T60" s="33" t="s">
        <v>771</v>
      </c>
      <c r="U60" s="29" t="s">
        <v>1096</v>
      </c>
      <c r="V60" s="36" t="s">
        <v>1097</v>
      </c>
      <c r="W60" s="101"/>
      <c r="X60" s="91"/>
      <c r="Y60" s="92" t="s">
        <v>903</v>
      </c>
      <c r="Z60" s="93"/>
      <c r="AA60" s="149">
        <v>44543</v>
      </c>
      <c r="AB60" s="146">
        <v>46161</v>
      </c>
      <c r="AC60" s="152" t="s">
        <v>674</v>
      </c>
    </row>
    <row r="61" spans="1:29" ht="20.100000000000001" customHeight="1">
      <c r="A61" s="26">
        <f ca="1">IF(P61&lt;"",ROW()-1,"")</f>
        <v>60</v>
      </c>
      <c r="B61" s="114">
        <f>IF(ISBLANK(D61),0,IF(F61&lt;&gt;F60,1,1+B60))</f>
        <v>9</v>
      </c>
      <c r="C61" s="27" t="s">
        <v>209</v>
      </c>
      <c r="D61" s="109">
        <v>309985513</v>
      </c>
      <c r="E61" s="28" t="s">
        <v>82</v>
      </c>
      <c r="F61" s="29" t="s">
        <v>574</v>
      </c>
      <c r="G61" s="39" t="s">
        <v>14</v>
      </c>
      <c r="H61" s="51" t="s">
        <v>921</v>
      </c>
      <c r="I61" s="39" t="s">
        <v>909</v>
      </c>
      <c r="J61" s="31"/>
      <c r="K61" s="30" t="s">
        <v>32</v>
      </c>
      <c r="L61" s="32" t="s">
        <v>334</v>
      </c>
      <c r="M61" s="29" t="s">
        <v>604</v>
      </c>
      <c r="N61" s="29" t="s">
        <v>300</v>
      </c>
      <c r="O61" s="34">
        <v>27385</v>
      </c>
      <c r="P61" s="35">
        <f ca="1">(TODAY()-O61)/365</f>
        <v>51.536986301369865</v>
      </c>
      <c r="Q61" s="29"/>
      <c r="R61" s="29"/>
      <c r="S61" s="29"/>
      <c r="T61" s="33"/>
      <c r="U61" s="29" t="s">
        <v>1070</v>
      </c>
      <c r="V61" s="36" t="s">
        <v>887</v>
      </c>
      <c r="W61" s="101"/>
      <c r="X61" s="91"/>
      <c r="Y61" s="92" t="s">
        <v>903</v>
      </c>
      <c r="Z61" s="93"/>
      <c r="AA61" s="149">
        <v>44056</v>
      </c>
      <c r="AB61" s="146">
        <v>46077</v>
      </c>
      <c r="AC61" s="152" t="s">
        <v>672</v>
      </c>
    </row>
    <row r="62" spans="1:29" ht="20.100000000000001" customHeight="1">
      <c r="A62" s="26">
        <f>IF(P62&lt;"",ROW()-1,"")</f>
        <v>61</v>
      </c>
      <c r="B62" s="42">
        <f>IF(ISBLANK(D62),0,IF(F62&lt;&gt;F61,1,1+B61))</f>
        <v>10</v>
      </c>
      <c r="C62" s="27" t="s">
        <v>132</v>
      </c>
      <c r="D62" s="109">
        <v>324577287</v>
      </c>
      <c r="E62" s="27" t="s">
        <v>82</v>
      </c>
      <c r="F62" s="29" t="s">
        <v>574</v>
      </c>
      <c r="G62" s="30" t="s">
        <v>22</v>
      </c>
      <c r="H62" s="31" t="s">
        <v>968</v>
      </c>
      <c r="I62" s="30" t="s">
        <v>969</v>
      </c>
      <c r="J62" s="31"/>
      <c r="K62" s="30" t="s">
        <v>32</v>
      </c>
      <c r="L62" s="37" t="s">
        <v>863</v>
      </c>
      <c r="M62" s="29" t="s">
        <v>861</v>
      </c>
      <c r="N62" s="29"/>
      <c r="O62" s="34">
        <v>31448</v>
      </c>
      <c r="P62" s="35">
        <v>40.046575342465751</v>
      </c>
      <c r="Q62" s="44" t="s">
        <v>144</v>
      </c>
      <c r="R62" s="29" t="s">
        <v>104</v>
      </c>
      <c r="S62" s="29" t="s">
        <v>864</v>
      </c>
      <c r="T62" s="70" t="s">
        <v>862</v>
      </c>
      <c r="U62" s="71" t="s">
        <v>864</v>
      </c>
      <c r="V62" s="36" t="s">
        <v>862</v>
      </c>
      <c r="W62" s="101"/>
      <c r="X62" s="91"/>
      <c r="Y62" s="92" t="s">
        <v>903</v>
      </c>
      <c r="Z62" s="93"/>
      <c r="AA62" s="149">
        <v>46065</v>
      </c>
      <c r="AB62" s="146">
        <v>46168</v>
      </c>
      <c r="AC62" s="152" t="s">
        <v>674</v>
      </c>
    </row>
    <row r="63" spans="1:29" ht="20.100000000000001" customHeight="1">
      <c r="A63" s="26">
        <f ca="1">IF(P63&lt;"",ROW()-1,"")</f>
        <v>62</v>
      </c>
      <c r="B63" s="114">
        <f>IF(ISBLANK(D63),0,IF(F63&lt;&gt;F62,1,1+B62))</f>
        <v>11</v>
      </c>
      <c r="C63" s="27" t="s">
        <v>84</v>
      </c>
      <c r="D63" s="109">
        <v>311719272</v>
      </c>
      <c r="E63" s="28" t="s">
        <v>82</v>
      </c>
      <c r="F63" s="29" t="s">
        <v>574</v>
      </c>
      <c r="G63" s="30" t="s">
        <v>88</v>
      </c>
      <c r="H63" s="31" t="s">
        <v>922</v>
      </c>
      <c r="I63" s="30" t="s">
        <v>937</v>
      </c>
      <c r="J63" s="31" t="s">
        <v>95</v>
      </c>
      <c r="K63" s="30" t="s">
        <v>90</v>
      </c>
      <c r="L63" s="37" t="s">
        <v>99</v>
      </c>
      <c r="M63" s="29" t="s">
        <v>100</v>
      </c>
      <c r="N63" s="29"/>
      <c r="O63" s="34">
        <v>22491</v>
      </c>
      <c r="P63" s="35">
        <f ca="1">(TODAY()-O63)/365</f>
        <v>64.945205479452056</v>
      </c>
      <c r="Q63" s="29" t="s">
        <v>20</v>
      </c>
      <c r="R63" s="29" t="s">
        <v>777</v>
      </c>
      <c r="S63" s="29" t="s">
        <v>778</v>
      </c>
      <c r="T63" s="33" t="s">
        <v>779</v>
      </c>
      <c r="U63" s="29" t="s">
        <v>780</v>
      </c>
      <c r="V63" s="36" t="s">
        <v>781</v>
      </c>
      <c r="W63" s="101"/>
      <c r="X63" s="91"/>
      <c r="Y63" s="92" t="s">
        <v>903</v>
      </c>
      <c r="Z63" s="93"/>
      <c r="AA63" s="149">
        <v>41640</v>
      </c>
      <c r="AB63" s="146">
        <v>46145</v>
      </c>
      <c r="AC63" s="152" t="s">
        <v>674</v>
      </c>
    </row>
    <row r="64" spans="1:29" ht="20.100000000000001" customHeight="1">
      <c r="A64" s="26">
        <f ca="1">IF(P64&lt;"",ROW()-1,"")</f>
        <v>63</v>
      </c>
      <c r="B64" s="114">
        <f>IF(ISBLANK(D64),0,IF(F64&lt;&gt;F63,1,1+B63))</f>
        <v>12</v>
      </c>
      <c r="C64" s="27" t="s">
        <v>401</v>
      </c>
      <c r="D64" s="109">
        <v>14391171</v>
      </c>
      <c r="E64" s="28" t="s">
        <v>82</v>
      </c>
      <c r="F64" s="29" t="s">
        <v>574</v>
      </c>
      <c r="G64" s="30" t="s">
        <v>14</v>
      </c>
      <c r="H64" s="31" t="s">
        <v>923</v>
      </c>
      <c r="I64" s="30" t="s">
        <v>915</v>
      </c>
      <c r="J64" s="31" t="s">
        <v>25</v>
      </c>
      <c r="K64" s="30" t="s">
        <v>32</v>
      </c>
      <c r="L64" s="37" t="s">
        <v>213</v>
      </c>
      <c r="M64" s="29" t="s">
        <v>293</v>
      </c>
      <c r="N64" s="29" t="s">
        <v>303</v>
      </c>
      <c r="O64" s="34">
        <v>24740</v>
      </c>
      <c r="P64" s="35">
        <f ca="1">(TODAY()-O64)/365</f>
        <v>58.783561643835618</v>
      </c>
      <c r="Q64" s="29" t="s">
        <v>17</v>
      </c>
      <c r="R64" s="29" t="s">
        <v>757</v>
      </c>
      <c r="S64" s="29" t="s">
        <v>18</v>
      </c>
      <c r="T64" s="33" t="s">
        <v>270</v>
      </c>
      <c r="U64" s="29" t="s">
        <v>1074</v>
      </c>
      <c r="V64" s="36" t="s">
        <v>878</v>
      </c>
      <c r="W64" s="101"/>
      <c r="X64" s="91"/>
      <c r="Y64" s="92" t="s">
        <v>903</v>
      </c>
      <c r="Z64" s="93"/>
      <c r="AA64" s="149">
        <v>43709</v>
      </c>
      <c r="AB64" s="146">
        <v>46071</v>
      </c>
      <c r="AC64" s="152" t="s">
        <v>672</v>
      </c>
    </row>
    <row r="65" spans="1:29" ht="20.100000000000001" customHeight="1">
      <c r="A65" s="26">
        <f ca="1">IF(P65&lt;"",ROW()-1,"")</f>
        <v>64</v>
      </c>
      <c r="B65" s="114">
        <f>IF(ISBLANK(D65),0,IF(F65&lt;&gt;F64,1,1+B64))</f>
        <v>13</v>
      </c>
      <c r="C65" s="27" t="s">
        <v>398</v>
      </c>
      <c r="D65" s="109">
        <v>341311017</v>
      </c>
      <c r="E65" s="28" t="s">
        <v>82</v>
      </c>
      <c r="F65" s="29" t="s">
        <v>574</v>
      </c>
      <c r="G65" s="39" t="s">
        <v>22</v>
      </c>
      <c r="H65" s="51" t="s">
        <v>924</v>
      </c>
      <c r="I65" s="39" t="s">
        <v>925</v>
      </c>
      <c r="J65" s="31"/>
      <c r="K65" s="30" t="s">
        <v>32</v>
      </c>
      <c r="L65" s="37" t="s">
        <v>569</v>
      </c>
      <c r="M65" s="29" t="s">
        <v>203</v>
      </c>
      <c r="N65" s="29"/>
      <c r="O65" s="34">
        <v>26312</v>
      </c>
      <c r="P65" s="35">
        <f ca="1">(TODAY()-O65)/365</f>
        <v>54.476712328767121</v>
      </c>
      <c r="Q65" s="29" t="s">
        <v>20</v>
      </c>
      <c r="R65" s="29" t="s">
        <v>570</v>
      </c>
      <c r="S65" s="29" t="s">
        <v>21</v>
      </c>
      <c r="T65" s="33" t="s">
        <v>571</v>
      </c>
      <c r="U65" s="29" t="s">
        <v>765</v>
      </c>
      <c r="V65" s="36" t="s">
        <v>766</v>
      </c>
      <c r="W65" s="101"/>
      <c r="X65" s="91"/>
      <c r="Y65" s="92" t="s">
        <v>903</v>
      </c>
      <c r="Z65" s="93"/>
      <c r="AA65" s="149">
        <v>43831</v>
      </c>
      <c r="AB65" s="146">
        <v>45369</v>
      </c>
      <c r="AC65" s="152" t="s">
        <v>674</v>
      </c>
    </row>
    <row r="66" spans="1:29" ht="20.100000000000001" customHeight="1">
      <c r="A66" s="26">
        <f ca="1">IF(P66&lt;"",ROW()-1,"")</f>
        <v>65</v>
      </c>
      <c r="B66" s="114">
        <f>IF(ISBLANK(D66),0,IF(F66&lt;&gt;F65,1,1+B65))</f>
        <v>14</v>
      </c>
      <c r="C66" s="27" t="s">
        <v>631</v>
      </c>
      <c r="D66" s="109">
        <v>317207512</v>
      </c>
      <c r="E66" s="27" t="s">
        <v>82</v>
      </c>
      <c r="F66" s="29" t="s">
        <v>574</v>
      </c>
      <c r="G66" s="39" t="s">
        <v>14</v>
      </c>
      <c r="H66" s="51" t="s">
        <v>926</v>
      </c>
      <c r="I66" s="39" t="s">
        <v>915</v>
      </c>
      <c r="J66" s="51"/>
      <c r="K66" s="39" t="s">
        <v>32</v>
      </c>
      <c r="L66" s="58" t="s">
        <v>367</v>
      </c>
      <c r="M66" s="44" t="s">
        <v>368</v>
      </c>
      <c r="N66" s="44" t="s">
        <v>16</v>
      </c>
      <c r="O66" s="34">
        <v>33527</v>
      </c>
      <c r="P66" s="35">
        <f ca="1">(TODAY()-O66)/365</f>
        <v>34.709589041095889</v>
      </c>
      <c r="Q66" s="44" t="s">
        <v>20</v>
      </c>
      <c r="R66" s="44"/>
      <c r="S66" s="29"/>
      <c r="T66" s="52"/>
      <c r="U66" s="29" t="s">
        <v>1080</v>
      </c>
      <c r="V66" s="55" t="s">
        <v>1098</v>
      </c>
      <c r="W66" s="102"/>
      <c r="X66" s="91"/>
      <c r="Y66" s="92" t="s">
        <v>903</v>
      </c>
      <c r="Z66" s="93"/>
      <c r="AA66" s="149">
        <v>45445</v>
      </c>
      <c r="AB66" s="146">
        <v>44933</v>
      </c>
      <c r="AC66" s="152" t="s">
        <v>674</v>
      </c>
    </row>
    <row r="67" spans="1:29" ht="20.100000000000001" customHeight="1">
      <c r="A67" s="26">
        <f ca="1">IF(P67&lt;"",ROW()-1,"")</f>
        <v>66</v>
      </c>
      <c r="B67" s="42">
        <f>IF(ISBLANK(D67),0,IF(F67&lt;&gt;F66,1,1+B66))</f>
        <v>15</v>
      </c>
      <c r="C67" s="27" t="s">
        <v>86</v>
      </c>
      <c r="D67" s="109">
        <v>58271008</v>
      </c>
      <c r="E67" s="28" t="s">
        <v>82</v>
      </c>
      <c r="F67" s="29" t="s">
        <v>574</v>
      </c>
      <c r="G67" s="30" t="s">
        <v>14</v>
      </c>
      <c r="H67" s="31" t="s">
        <v>981</v>
      </c>
      <c r="I67" s="30" t="s">
        <v>938</v>
      </c>
      <c r="J67" s="31"/>
      <c r="K67" s="30" t="s">
        <v>92</v>
      </c>
      <c r="L67" s="37" t="s">
        <v>105</v>
      </c>
      <c r="M67" s="29" t="s">
        <v>106</v>
      </c>
      <c r="N67" s="29"/>
      <c r="O67" s="34">
        <v>23175</v>
      </c>
      <c r="P67" s="35">
        <f ca="1">(TODAY()-O67)/365</f>
        <v>63.07123287671233</v>
      </c>
      <c r="Q67" s="29" t="s">
        <v>17</v>
      </c>
      <c r="R67" s="29" t="s">
        <v>107</v>
      </c>
      <c r="S67" s="29" t="s">
        <v>108</v>
      </c>
      <c r="T67" s="33" t="s">
        <v>109</v>
      </c>
      <c r="U67" s="29"/>
      <c r="V67" s="36"/>
      <c r="W67" s="101" t="s">
        <v>1023</v>
      </c>
      <c r="X67" s="91" t="s">
        <v>903</v>
      </c>
      <c r="Y67" s="92"/>
      <c r="Z67" s="93"/>
      <c r="AA67" s="149">
        <v>42901</v>
      </c>
      <c r="AB67" s="146">
        <v>45213</v>
      </c>
      <c r="AC67" s="152" t="s">
        <v>674</v>
      </c>
    </row>
    <row r="68" spans="1:29" ht="20.100000000000001" customHeight="1">
      <c r="A68" s="26">
        <f ca="1">IF(P68&lt;"",ROW()-1,"")</f>
        <v>67</v>
      </c>
      <c r="B68" s="42">
        <f>IF(ISBLANK(D68),0,IF(F68&lt;&gt;F67,1,1+B67))</f>
        <v>16</v>
      </c>
      <c r="C68" s="27" t="s">
        <v>794</v>
      </c>
      <c r="D68" s="109">
        <v>20312996</v>
      </c>
      <c r="E68" s="28" t="s">
        <v>82</v>
      </c>
      <c r="F68" s="29" t="s">
        <v>574</v>
      </c>
      <c r="G68" s="39" t="s">
        <v>14</v>
      </c>
      <c r="H68" s="51" t="s">
        <v>927</v>
      </c>
      <c r="I68" s="39" t="s">
        <v>909</v>
      </c>
      <c r="J68" s="51"/>
      <c r="K68" s="39" t="s">
        <v>32</v>
      </c>
      <c r="L68" s="58" t="s">
        <v>795</v>
      </c>
      <c r="M68" s="44" t="s">
        <v>458</v>
      </c>
      <c r="N68" s="44"/>
      <c r="O68" s="34">
        <v>33599</v>
      </c>
      <c r="P68" s="35">
        <f ca="1">(TODAY()-O68)/365</f>
        <v>34.512328767123286</v>
      </c>
      <c r="Q68" s="44" t="s">
        <v>20</v>
      </c>
      <c r="R68" s="44" t="s">
        <v>802</v>
      </c>
      <c r="S68" s="44" t="s">
        <v>26</v>
      </c>
      <c r="T68" s="52" t="s">
        <v>801</v>
      </c>
      <c r="U68" s="44" t="s">
        <v>796</v>
      </c>
      <c r="V68" s="53" t="s">
        <v>797</v>
      </c>
      <c r="W68" s="101"/>
      <c r="X68" s="91"/>
      <c r="Y68" s="92" t="s">
        <v>903</v>
      </c>
      <c r="Z68" s="93"/>
      <c r="AA68" s="149">
        <v>45950</v>
      </c>
      <c r="AB68" s="146">
        <v>46176</v>
      </c>
      <c r="AC68" s="152" t="s">
        <v>674</v>
      </c>
    </row>
    <row r="69" spans="1:29" ht="20.100000000000001" customHeight="1">
      <c r="A69" s="26">
        <f ca="1">IF(P69&lt;"",ROW()-1,"")</f>
        <v>68</v>
      </c>
      <c r="B69" s="42">
        <f>IF(ISBLANK(D69),0,IF(F69&lt;&gt;F68,1,1+B68))</f>
        <v>17</v>
      </c>
      <c r="C69" s="27" t="s">
        <v>697</v>
      </c>
      <c r="D69" s="109">
        <v>40151524</v>
      </c>
      <c r="E69" s="27" t="s">
        <v>82</v>
      </c>
      <c r="F69" s="29" t="s">
        <v>574</v>
      </c>
      <c r="G69" s="49" t="s">
        <v>14</v>
      </c>
      <c r="H69" s="43" t="s">
        <v>928</v>
      </c>
      <c r="I69" s="49" t="s">
        <v>929</v>
      </c>
      <c r="J69" s="43"/>
      <c r="K69" s="39" t="s">
        <v>32</v>
      </c>
      <c r="L69" s="37" t="s">
        <v>698</v>
      </c>
      <c r="M69" s="29" t="s">
        <v>699</v>
      </c>
      <c r="N69" s="29"/>
      <c r="O69" s="34">
        <v>29419</v>
      </c>
      <c r="P69" s="35">
        <f ca="1">(TODAY()-O69)/365</f>
        <v>45.964383561643835</v>
      </c>
      <c r="Q69" s="29" t="s">
        <v>20</v>
      </c>
      <c r="R69" s="29" t="s">
        <v>763</v>
      </c>
      <c r="S69" s="29" t="s">
        <v>24</v>
      </c>
      <c r="T69" s="115" t="s">
        <v>700</v>
      </c>
      <c r="U69" s="29" t="s">
        <v>1099</v>
      </c>
      <c r="V69" s="36" t="s">
        <v>1100</v>
      </c>
      <c r="W69" s="101"/>
      <c r="X69" s="91"/>
      <c r="Y69" s="92" t="s">
        <v>903</v>
      </c>
      <c r="Z69" s="93"/>
      <c r="AA69" s="149">
        <v>45866</v>
      </c>
      <c r="AB69" s="146">
        <v>46114</v>
      </c>
      <c r="AC69" s="152" t="s">
        <v>674</v>
      </c>
    </row>
    <row r="70" spans="1:29" ht="20.100000000000001" customHeight="1">
      <c r="A70" s="26">
        <f ca="1">IF(P70&lt;"",ROW()-1,"")</f>
        <v>69</v>
      </c>
      <c r="B70" s="42">
        <f>IF(ISBLANK(D70),0,IF(F70&lt;&gt;F69,1,1+B69))</f>
        <v>18</v>
      </c>
      <c r="C70" s="27" t="s">
        <v>798</v>
      </c>
      <c r="D70" s="109">
        <v>315602961</v>
      </c>
      <c r="E70" s="27" t="s">
        <v>82</v>
      </c>
      <c r="F70" s="29" t="s">
        <v>574</v>
      </c>
      <c r="G70" s="49" t="s">
        <v>14</v>
      </c>
      <c r="H70" s="43" t="s">
        <v>1003</v>
      </c>
      <c r="I70" s="49" t="s">
        <v>920</v>
      </c>
      <c r="J70" s="43"/>
      <c r="K70" s="39" t="s">
        <v>32</v>
      </c>
      <c r="L70" s="37" t="s">
        <v>805</v>
      </c>
      <c r="M70" s="29" t="s">
        <v>806</v>
      </c>
      <c r="N70" s="29"/>
      <c r="O70" s="34">
        <v>34903</v>
      </c>
      <c r="P70" s="35">
        <f ca="1">(TODAY()-O70)/365</f>
        <v>30.93972602739726</v>
      </c>
      <c r="Q70" s="29" t="s">
        <v>26</v>
      </c>
      <c r="R70" s="29" t="s">
        <v>807</v>
      </c>
      <c r="S70" s="29" t="s">
        <v>26</v>
      </c>
      <c r="T70" s="33" t="s">
        <v>808</v>
      </c>
      <c r="U70" s="29" t="s">
        <v>844</v>
      </c>
      <c r="V70" s="36" t="s">
        <v>809</v>
      </c>
      <c r="W70" s="101"/>
      <c r="X70" s="91"/>
      <c r="Y70" s="92" t="s">
        <v>903</v>
      </c>
      <c r="Z70" s="93"/>
      <c r="AA70" s="149">
        <v>45956</v>
      </c>
      <c r="AB70" s="146">
        <v>46149</v>
      </c>
      <c r="AC70" s="152" t="s">
        <v>674</v>
      </c>
    </row>
    <row r="71" spans="1:29" ht="20.100000000000001" customHeight="1">
      <c r="A71" s="26">
        <f ca="1">IF(P71&lt;"",ROW()-1,"")</f>
        <v>70</v>
      </c>
      <c r="B71" s="42">
        <f>IF(ISBLANK(D71),0,IF(F71&lt;&gt;F70,1,1+B70))</f>
        <v>19</v>
      </c>
      <c r="C71" s="27" t="s">
        <v>557</v>
      </c>
      <c r="D71" s="109">
        <v>319272902</v>
      </c>
      <c r="E71" s="27" t="s">
        <v>82</v>
      </c>
      <c r="F71" s="29" t="s">
        <v>574</v>
      </c>
      <c r="G71" s="49" t="s">
        <v>14</v>
      </c>
      <c r="H71" s="43" t="s">
        <v>931</v>
      </c>
      <c r="I71" s="49" t="s">
        <v>932</v>
      </c>
      <c r="J71" s="31"/>
      <c r="K71" s="39" t="s">
        <v>32</v>
      </c>
      <c r="L71" s="37" t="s">
        <v>858</v>
      </c>
      <c r="M71" s="29" t="s">
        <v>558</v>
      </c>
      <c r="N71" s="29" t="s">
        <v>16</v>
      </c>
      <c r="O71" s="34">
        <v>26431</v>
      </c>
      <c r="P71" s="35">
        <f ca="1">(TODAY()-O71)/365</f>
        <v>54.150684931506852</v>
      </c>
      <c r="Q71" s="29" t="s">
        <v>20</v>
      </c>
      <c r="R71" s="29" t="s">
        <v>221</v>
      </c>
      <c r="S71" s="29" t="s">
        <v>763</v>
      </c>
      <c r="T71" s="33" t="s">
        <v>771</v>
      </c>
      <c r="U71" s="29" t="s">
        <v>770</v>
      </c>
      <c r="V71" s="55" t="s">
        <v>559</v>
      </c>
      <c r="W71" s="102"/>
      <c r="X71" s="91"/>
      <c r="Y71" s="92"/>
      <c r="Z71" s="93" t="s">
        <v>903</v>
      </c>
      <c r="AA71" s="149">
        <v>45095</v>
      </c>
      <c r="AB71" s="146"/>
      <c r="AC71" s="152" t="s">
        <v>674</v>
      </c>
    </row>
    <row r="72" spans="1:29" ht="20.100000000000001" customHeight="1">
      <c r="A72" s="26">
        <f ca="1">IF(P72&lt;"",ROW()-1,"")</f>
        <v>71</v>
      </c>
      <c r="B72" s="114">
        <f>IF(ISBLANK(D72),0,IF(F72&lt;&gt;F71,1,1+B71))</f>
        <v>20</v>
      </c>
      <c r="C72" s="27" t="s">
        <v>399</v>
      </c>
      <c r="D72" s="109">
        <v>317419679</v>
      </c>
      <c r="E72" s="28" t="s">
        <v>82</v>
      </c>
      <c r="F72" s="29" t="s">
        <v>574</v>
      </c>
      <c r="G72" s="39" t="s">
        <v>14</v>
      </c>
      <c r="H72" s="51" t="s">
        <v>930</v>
      </c>
      <c r="I72" s="39" t="s">
        <v>915</v>
      </c>
      <c r="J72" s="31"/>
      <c r="K72" s="30" t="s">
        <v>171</v>
      </c>
      <c r="L72" s="37" t="s">
        <v>143</v>
      </c>
      <c r="M72" s="29" t="s">
        <v>153</v>
      </c>
      <c r="N72" s="29"/>
      <c r="O72" s="34">
        <v>35019</v>
      </c>
      <c r="P72" s="35">
        <f ca="1">(TODAY()-O72)/365</f>
        <v>30.621917808219177</v>
      </c>
      <c r="Q72" s="29" t="s">
        <v>23</v>
      </c>
      <c r="R72" s="29" t="s">
        <v>169</v>
      </c>
      <c r="S72" s="29" t="s">
        <v>24</v>
      </c>
      <c r="T72" s="33" t="s">
        <v>170</v>
      </c>
      <c r="U72" s="29" t="s">
        <v>1101</v>
      </c>
      <c r="V72" s="36" t="s">
        <v>1102</v>
      </c>
      <c r="W72" s="101"/>
      <c r="X72" s="91"/>
      <c r="Y72" s="92" t="s">
        <v>903</v>
      </c>
      <c r="Z72" s="93"/>
      <c r="AA72" s="149">
        <v>42295</v>
      </c>
      <c r="AB72" s="146">
        <v>45299</v>
      </c>
      <c r="AC72" s="152" t="s">
        <v>674</v>
      </c>
    </row>
    <row r="73" spans="1:29" ht="20.100000000000001" customHeight="1">
      <c r="A73" s="26">
        <f ca="1">IF(P73&lt;"",ROW()-1,"")</f>
        <v>72</v>
      </c>
      <c r="B73" s="42">
        <f>IF(ISBLANK(D73),0,IF(F73&lt;&gt;F72,1,1+B72))</f>
        <v>21</v>
      </c>
      <c r="C73" s="27" t="s">
        <v>480</v>
      </c>
      <c r="D73" s="109">
        <v>320689516</v>
      </c>
      <c r="E73" s="28" t="s">
        <v>82</v>
      </c>
      <c r="F73" s="29" t="s">
        <v>574</v>
      </c>
      <c r="G73" s="30" t="s">
        <v>14</v>
      </c>
      <c r="H73" s="31" t="s">
        <v>913</v>
      </c>
      <c r="I73" s="30" t="s">
        <v>909</v>
      </c>
      <c r="J73" s="31"/>
      <c r="K73" s="30" t="s">
        <v>32</v>
      </c>
      <c r="L73" s="37" t="s">
        <v>444</v>
      </c>
      <c r="M73" s="29" t="s">
        <v>445</v>
      </c>
      <c r="N73" s="29"/>
      <c r="O73" s="34">
        <v>24816</v>
      </c>
      <c r="P73" s="35">
        <f ca="1">(TODAY()-O73)/365</f>
        <v>58.575342465753423</v>
      </c>
      <c r="Q73" s="29" t="s">
        <v>102</v>
      </c>
      <c r="R73" s="29" t="s">
        <v>107</v>
      </c>
      <c r="S73" s="29" t="s">
        <v>104</v>
      </c>
      <c r="T73" s="33" t="s">
        <v>271</v>
      </c>
      <c r="U73" s="29" t="s">
        <v>107</v>
      </c>
      <c r="V73" s="55" t="s">
        <v>271</v>
      </c>
      <c r="W73" s="102"/>
      <c r="X73" s="91"/>
      <c r="Y73" s="92" t="s">
        <v>903</v>
      </c>
      <c r="Z73" s="93"/>
      <c r="AA73" s="149">
        <v>44909</v>
      </c>
      <c r="AB73" s="146">
        <v>45105</v>
      </c>
      <c r="AC73" s="152" t="s">
        <v>674</v>
      </c>
    </row>
    <row r="74" spans="1:29" ht="20.100000000000001" customHeight="1">
      <c r="A74" s="26">
        <f ca="1">IF(P74&lt;"",ROW()-1,"")</f>
        <v>73</v>
      </c>
      <c r="B74" s="114">
        <f>IF(ISBLANK(D74),0,IF(F74&lt;&gt;F73,1,1+B73))</f>
        <v>22</v>
      </c>
      <c r="C74" s="27" t="s">
        <v>400</v>
      </c>
      <c r="D74" s="109">
        <v>17533878</v>
      </c>
      <c r="E74" s="28" t="s">
        <v>82</v>
      </c>
      <c r="F74" s="29" t="s">
        <v>574</v>
      </c>
      <c r="G74" s="39" t="s">
        <v>22</v>
      </c>
      <c r="H74" s="51" t="s">
        <v>934</v>
      </c>
      <c r="I74" s="39" t="s">
        <v>933</v>
      </c>
      <c r="J74" s="31"/>
      <c r="K74" s="30" t="s">
        <v>32</v>
      </c>
      <c r="L74" s="67" t="s">
        <v>512</v>
      </c>
      <c r="M74" s="29" t="s">
        <v>322</v>
      </c>
      <c r="N74" s="29" t="s">
        <v>568</v>
      </c>
      <c r="O74" s="34">
        <v>28237</v>
      </c>
      <c r="P74" s="35">
        <f ca="1">(TODAY()-O74)/365</f>
        <v>49.202739726027396</v>
      </c>
      <c r="Q74" s="29" t="s">
        <v>144</v>
      </c>
      <c r="R74" s="29" t="s">
        <v>415</v>
      </c>
      <c r="S74" s="29" t="s">
        <v>104</v>
      </c>
      <c r="T74" s="29" t="s">
        <v>513</v>
      </c>
      <c r="U74" s="107" t="s">
        <v>415</v>
      </c>
      <c r="V74" s="36" t="s">
        <v>513</v>
      </c>
      <c r="W74" s="101"/>
      <c r="X74" s="91" t="s">
        <v>903</v>
      </c>
      <c r="Y74" s="92"/>
      <c r="Z74" s="93"/>
      <c r="AA74" s="149">
        <v>43709</v>
      </c>
      <c r="AB74" s="146">
        <v>45017</v>
      </c>
      <c r="AC74" s="152" t="s">
        <v>672</v>
      </c>
    </row>
    <row r="75" spans="1:29" ht="20.100000000000001" customHeight="1">
      <c r="A75" s="26">
        <f ca="1">IF(P75&lt;"",ROW()-1,"")</f>
        <v>74</v>
      </c>
      <c r="B75" s="114">
        <f>IF(ISBLANK(D75),0,IF(F75&lt;&gt;F74,1,1+B74))</f>
        <v>23</v>
      </c>
      <c r="C75" s="27" t="s">
        <v>508</v>
      </c>
      <c r="D75" s="109">
        <v>316939479</v>
      </c>
      <c r="E75" s="28" t="s">
        <v>82</v>
      </c>
      <c r="F75" s="29" t="s">
        <v>574</v>
      </c>
      <c r="G75" s="30" t="s">
        <v>14</v>
      </c>
      <c r="H75" s="31" t="s">
        <v>935</v>
      </c>
      <c r="I75" s="30" t="s">
        <v>915</v>
      </c>
      <c r="J75" s="31"/>
      <c r="K75" s="30" t="s">
        <v>32</v>
      </c>
      <c r="L75" s="37" t="s">
        <v>509</v>
      </c>
      <c r="M75" s="29" t="s">
        <v>510</v>
      </c>
      <c r="N75" s="29"/>
      <c r="O75" s="34">
        <v>25711</v>
      </c>
      <c r="P75" s="35">
        <f ca="1">(TODAY()-O75)/365</f>
        <v>56.123287671232873</v>
      </c>
      <c r="Q75" s="29" t="s">
        <v>20</v>
      </c>
      <c r="R75" s="29" t="s">
        <v>785</v>
      </c>
      <c r="S75" s="29" t="s">
        <v>778</v>
      </c>
      <c r="T75" s="33" t="s">
        <v>847</v>
      </c>
      <c r="U75" s="37" t="s">
        <v>772</v>
      </c>
      <c r="V75" s="36" t="s">
        <v>773</v>
      </c>
      <c r="W75" s="101"/>
      <c r="X75" s="91"/>
      <c r="Y75" s="92" t="s">
        <v>903</v>
      </c>
      <c r="Z75" s="93"/>
      <c r="AA75" s="149">
        <v>44993</v>
      </c>
      <c r="AB75" s="146">
        <v>45108</v>
      </c>
      <c r="AC75" s="152" t="s">
        <v>674</v>
      </c>
    </row>
    <row r="76" spans="1:29" ht="20.100000000000001" customHeight="1">
      <c r="A76" s="26">
        <f ca="1">IF(P76&lt;"",ROW()-1,"")</f>
        <v>75</v>
      </c>
      <c r="B76" s="42">
        <f>IF(ISBLANK(D76),0,IF(F76&lt;&gt;F75,1,1+B75))</f>
        <v>1</v>
      </c>
      <c r="C76" s="27" t="s">
        <v>895</v>
      </c>
      <c r="D76" s="109">
        <v>26483222</v>
      </c>
      <c r="E76" s="27" t="s">
        <v>82</v>
      </c>
      <c r="F76" s="29" t="s">
        <v>261</v>
      </c>
      <c r="G76" s="49" t="s">
        <v>14</v>
      </c>
      <c r="H76" s="43" t="s">
        <v>965</v>
      </c>
      <c r="I76" s="49" t="s">
        <v>966</v>
      </c>
      <c r="J76" s="140"/>
      <c r="K76" s="39" t="s">
        <v>32</v>
      </c>
      <c r="L76" s="37" t="s">
        <v>896</v>
      </c>
      <c r="M76" s="137" t="s">
        <v>897</v>
      </c>
      <c r="N76" s="137"/>
      <c r="O76" s="126">
        <v>31522</v>
      </c>
      <c r="P76" s="35">
        <f ca="1">(TODAY()-O76)/365</f>
        <v>40.202739726027396</v>
      </c>
      <c r="Q76" s="137" t="s">
        <v>24</v>
      </c>
      <c r="R76" s="137" t="s">
        <v>60</v>
      </c>
      <c r="S76" s="137" t="s">
        <v>24</v>
      </c>
      <c r="T76" s="115" t="s">
        <v>898</v>
      </c>
      <c r="U76" s="29"/>
      <c r="V76" s="36"/>
      <c r="W76" s="101" t="s">
        <v>1023</v>
      </c>
      <c r="X76" s="128"/>
      <c r="Y76" s="129" t="s">
        <v>903</v>
      </c>
      <c r="Z76" s="130"/>
      <c r="AA76" s="149">
        <f>VLOOKUP(D76,[2]nohahut!$B:$D,3,0)</f>
        <v>46096</v>
      </c>
      <c r="AB76" s="146"/>
      <c r="AC76" s="152" t="s">
        <v>674</v>
      </c>
    </row>
    <row r="77" spans="1:29" ht="20.100000000000001" customHeight="1">
      <c r="A77" s="26">
        <f ca="1">IF(P77&lt;"",ROW()-1,"")</f>
        <v>76</v>
      </c>
      <c r="B77" s="114">
        <f>IF(ISBLANK(D77),0,IF(F77&lt;&gt;F76,1,1+B76))</f>
        <v>2</v>
      </c>
      <c r="C77" s="27" t="s">
        <v>669</v>
      </c>
      <c r="D77" s="109">
        <v>31864077</v>
      </c>
      <c r="E77" s="57" t="s">
        <v>82</v>
      </c>
      <c r="F77" s="29" t="s">
        <v>261</v>
      </c>
      <c r="G77" s="30" t="s">
        <v>14</v>
      </c>
      <c r="H77" s="31" t="s">
        <v>913</v>
      </c>
      <c r="I77" s="30" t="s">
        <v>909</v>
      </c>
      <c r="J77" s="43" t="s">
        <v>670</v>
      </c>
      <c r="K77" s="30" t="s">
        <v>32</v>
      </c>
      <c r="L77" s="32" t="s">
        <v>334</v>
      </c>
      <c r="M77" s="29" t="s">
        <v>671</v>
      </c>
      <c r="N77" s="29"/>
      <c r="O77" s="34">
        <v>27361</v>
      </c>
      <c r="P77" s="35">
        <f ca="1">(TODAY()-O77)/365</f>
        <v>51.602739726027394</v>
      </c>
      <c r="Q77" s="29" t="s">
        <v>144</v>
      </c>
      <c r="R77" s="29" t="s">
        <v>756</v>
      </c>
      <c r="S77" s="29" t="s">
        <v>21</v>
      </c>
      <c r="T77" s="33" t="s">
        <v>758</v>
      </c>
      <c r="U77" s="29" t="s">
        <v>1070</v>
      </c>
      <c r="V77" s="36" t="s">
        <v>887</v>
      </c>
      <c r="W77" s="101"/>
      <c r="X77" s="91" t="s">
        <v>903</v>
      </c>
      <c r="Y77" s="92"/>
      <c r="Z77" s="93"/>
      <c r="AA77" s="149">
        <f>VLOOKUP(D77,[2]nohahut!$B:$D,3,0)</f>
        <v>45748</v>
      </c>
      <c r="AB77" s="146">
        <v>46127</v>
      </c>
      <c r="AC77" s="152" t="s">
        <v>674</v>
      </c>
    </row>
    <row r="78" spans="1:29" ht="20.100000000000001" customHeight="1">
      <c r="A78" s="26">
        <f ca="1">IF(P78&lt;"",ROW()-1,"")</f>
        <v>77</v>
      </c>
      <c r="B78" s="42">
        <f>IF(ISBLANK(D78),0,IF(F78&lt;&gt;F77,1,1+B77))</f>
        <v>3</v>
      </c>
      <c r="C78" s="27" t="s">
        <v>392</v>
      </c>
      <c r="D78" s="112">
        <v>38320107</v>
      </c>
      <c r="E78" s="28" t="s">
        <v>82</v>
      </c>
      <c r="F78" s="29" t="s">
        <v>261</v>
      </c>
      <c r="G78" s="30" t="s">
        <v>14</v>
      </c>
      <c r="H78" s="31" t="s">
        <v>939</v>
      </c>
      <c r="I78" s="30" t="s">
        <v>909</v>
      </c>
      <c r="J78" s="31" t="s">
        <v>405</v>
      </c>
      <c r="K78" s="30" t="s">
        <v>32</v>
      </c>
      <c r="L78" s="37" t="s">
        <v>407</v>
      </c>
      <c r="M78" s="29" t="s">
        <v>331</v>
      </c>
      <c r="N78" s="29" t="s">
        <v>16</v>
      </c>
      <c r="O78" s="68">
        <v>27799</v>
      </c>
      <c r="P78" s="35">
        <f ca="1">(TODAY()-O78)/365</f>
        <v>50.402739726027399</v>
      </c>
      <c r="Q78" s="66" t="s">
        <v>23</v>
      </c>
      <c r="R78" s="66" t="s">
        <v>727</v>
      </c>
      <c r="S78" s="66" t="s">
        <v>726</v>
      </c>
      <c r="T78" s="69" t="s">
        <v>731</v>
      </c>
      <c r="U78" s="66" t="s">
        <v>725</v>
      </c>
      <c r="V78" s="36" t="s">
        <v>734</v>
      </c>
      <c r="W78" s="101"/>
      <c r="X78" s="91" t="s">
        <v>903</v>
      </c>
      <c r="Y78" s="92"/>
      <c r="Z78" s="93"/>
      <c r="AA78" s="149">
        <f>VLOOKUP(D78,[2]nohahut!$B:$D,3,0)</f>
        <v>43269</v>
      </c>
      <c r="AB78" s="146">
        <v>46068</v>
      </c>
      <c r="AC78" s="152" t="s">
        <v>674</v>
      </c>
    </row>
    <row r="79" spans="1:29" ht="20.100000000000001" customHeight="1">
      <c r="A79" s="26">
        <f ca="1">IF(P79&lt;"",ROW()-1,"")</f>
        <v>78</v>
      </c>
      <c r="B79" s="42">
        <f>IF(ISBLANK(D79),0,IF(F79&lt;&gt;F78,1,1+B78))</f>
        <v>4</v>
      </c>
      <c r="C79" s="27" t="s">
        <v>314</v>
      </c>
      <c r="D79" s="109">
        <v>31900087</v>
      </c>
      <c r="E79" s="27" t="s">
        <v>82</v>
      </c>
      <c r="F79" s="29" t="s">
        <v>261</v>
      </c>
      <c r="G79" s="30" t="s">
        <v>14</v>
      </c>
      <c r="H79" s="31" t="s">
        <v>940</v>
      </c>
      <c r="I79" s="30" t="s">
        <v>920</v>
      </c>
      <c r="J79" s="31" t="s">
        <v>31</v>
      </c>
      <c r="K79" s="30" t="s">
        <v>32</v>
      </c>
      <c r="L79" s="37" t="s">
        <v>33</v>
      </c>
      <c r="M79" s="29" t="s">
        <v>34</v>
      </c>
      <c r="N79" s="29" t="s">
        <v>35</v>
      </c>
      <c r="O79" s="34">
        <v>27388</v>
      </c>
      <c r="P79" s="35">
        <f ca="1">(TODAY()-O79)/365</f>
        <v>51.528767123287672</v>
      </c>
      <c r="Q79" s="29" t="s">
        <v>36</v>
      </c>
      <c r="R79" s="29" t="s">
        <v>729</v>
      </c>
      <c r="S79" s="29" t="s">
        <v>26</v>
      </c>
      <c r="T79" s="33" t="s">
        <v>730</v>
      </c>
      <c r="U79" s="29" t="s">
        <v>728</v>
      </c>
      <c r="V79" s="36" t="s">
        <v>735</v>
      </c>
      <c r="W79" s="101"/>
      <c r="X79" s="91"/>
      <c r="Y79" s="92"/>
      <c r="Z79" s="93" t="s">
        <v>903</v>
      </c>
      <c r="AA79" s="149">
        <f>VLOOKUP(D79,[2]nohahut!$B:$D,3,0)</f>
        <v>44066</v>
      </c>
      <c r="AB79" s="146">
        <v>46173</v>
      </c>
      <c r="AC79" s="152" t="s">
        <v>674</v>
      </c>
    </row>
    <row r="80" spans="1:29" ht="20.100000000000001" customHeight="1">
      <c r="A80" s="26">
        <f ca="1">IF(P80&lt;"",ROW()-1,"")</f>
        <v>79</v>
      </c>
      <c r="B80" s="42">
        <f>IF(ISBLANK(D80),0,IF(F80&lt;&gt;F79,1,1+B79))</f>
        <v>5</v>
      </c>
      <c r="C80" s="27" t="s">
        <v>253</v>
      </c>
      <c r="D80" s="109">
        <v>317511947</v>
      </c>
      <c r="E80" s="28" t="s">
        <v>82</v>
      </c>
      <c r="F80" s="29" t="s">
        <v>261</v>
      </c>
      <c r="G80" s="30" t="s">
        <v>14</v>
      </c>
      <c r="H80" s="31" t="s">
        <v>941</v>
      </c>
      <c r="I80" s="30" t="s">
        <v>932</v>
      </c>
      <c r="J80" s="31" t="s">
        <v>42</v>
      </c>
      <c r="K80" s="30" t="s">
        <v>32</v>
      </c>
      <c r="L80" s="37" t="s">
        <v>43</v>
      </c>
      <c r="M80" s="29" t="s">
        <v>44</v>
      </c>
      <c r="N80" s="29" t="s">
        <v>45</v>
      </c>
      <c r="O80" s="34">
        <v>22677</v>
      </c>
      <c r="P80" s="35">
        <f ca="1">(TODAY()-O80)/365</f>
        <v>64.435616438356163</v>
      </c>
      <c r="Q80" s="29"/>
      <c r="R80" s="29" t="s">
        <v>732</v>
      </c>
      <c r="S80" s="29" t="s">
        <v>29</v>
      </c>
      <c r="T80" s="33" t="s">
        <v>733</v>
      </c>
      <c r="U80" s="29" t="s">
        <v>164</v>
      </c>
      <c r="V80" s="36" t="s">
        <v>736</v>
      </c>
      <c r="W80" s="101"/>
      <c r="X80" s="91"/>
      <c r="Y80" s="92" t="s">
        <v>903</v>
      </c>
      <c r="Z80" s="93"/>
      <c r="AA80" s="149">
        <f>VLOOKUP(D80,[2]nohahut!$B:$D,3,0)</f>
        <v>41640</v>
      </c>
      <c r="AB80" s="146">
        <v>46124</v>
      </c>
      <c r="AC80" s="152" t="s">
        <v>674</v>
      </c>
    </row>
    <row r="81" spans="1:29" ht="20.100000000000001" customHeight="1">
      <c r="A81" s="26">
        <f ca="1">IF(P81&lt;"",ROW()-1,"")</f>
        <v>80</v>
      </c>
      <c r="B81" s="42">
        <f>IF(ISBLANK(D81),0,IF(F81&lt;&gt;F80,1,1+B80))</f>
        <v>6</v>
      </c>
      <c r="C81" s="27" t="s">
        <v>193</v>
      </c>
      <c r="D81" s="109">
        <v>313622235</v>
      </c>
      <c r="E81" s="28" t="s">
        <v>82</v>
      </c>
      <c r="F81" s="29" t="s">
        <v>261</v>
      </c>
      <c r="G81" s="30" t="s">
        <v>22</v>
      </c>
      <c r="H81" s="31" t="s">
        <v>942</v>
      </c>
      <c r="I81" s="30" t="s">
        <v>936</v>
      </c>
      <c r="J81" s="31" t="s">
        <v>319</v>
      </c>
      <c r="K81" s="30" t="s">
        <v>32</v>
      </c>
      <c r="L81" s="37" t="s">
        <v>197</v>
      </c>
      <c r="M81" s="29" t="s">
        <v>745</v>
      </c>
      <c r="N81" s="29" t="s">
        <v>16</v>
      </c>
      <c r="O81" s="34">
        <v>24373</v>
      </c>
      <c r="P81" s="35">
        <f ca="1">(TODAY()-O81)/365</f>
        <v>59.789041095890411</v>
      </c>
      <c r="Q81" s="29" t="s">
        <v>24</v>
      </c>
      <c r="R81" s="29" t="s">
        <v>204</v>
      </c>
      <c r="S81" s="29" t="s">
        <v>18</v>
      </c>
      <c r="T81" s="33" t="s">
        <v>205</v>
      </c>
      <c r="U81" s="29" t="s">
        <v>879</v>
      </c>
      <c r="V81" s="36">
        <v>523991588</v>
      </c>
      <c r="W81" s="101"/>
      <c r="X81" s="91"/>
      <c r="Y81" s="92" t="s">
        <v>903</v>
      </c>
      <c r="Z81" s="93"/>
      <c r="AA81" s="149">
        <f>VLOOKUP(D81,[2]nohahut!$B:$D,3,0)</f>
        <v>43709</v>
      </c>
      <c r="AB81" s="146">
        <v>46068</v>
      </c>
      <c r="AC81" s="152" t="s">
        <v>672</v>
      </c>
    </row>
    <row r="82" spans="1:29" ht="20.100000000000001" customHeight="1">
      <c r="A82" s="26">
        <f ca="1">IF(P82&lt;"",ROW()-1,"")</f>
        <v>81</v>
      </c>
      <c r="B82" s="42">
        <f>IF(ISBLANK(D82),0,IF(F82&lt;&gt;F81,1,1+B81))</f>
        <v>7</v>
      </c>
      <c r="C82" s="27" t="s">
        <v>860</v>
      </c>
      <c r="D82" s="109">
        <v>69044709</v>
      </c>
      <c r="E82" s="28" t="s">
        <v>82</v>
      </c>
      <c r="F82" s="29" t="s">
        <v>261</v>
      </c>
      <c r="G82" s="30" t="s">
        <v>14</v>
      </c>
      <c r="H82" s="31" t="s">
        <v>943</v>
      </c>
      <c r="I82" s="30" t="s">
        <v>944</v>
      </c>
      <c r="J82" s="31" t="s">
        <v>196</v>
      </c>
      <c r="K82" s="30" t="s">
        <v>32</v>
      </c>
      <c r="L82" s="37" t="s">
        <v>198</v>
      </c>
      <c r="M82" s="29" t="s">
        <v>226</v>
      </c>
      <c r="N82" s="29" t="s">
        <v>16</v>
      </c>
      <c r="O82" s="34">
        <v>21279</v>
      </c>
      <c r="P82" s="35">
        <f ca="1">(TODAY()-O82)/365</f>
        <v>68.265753424657532</v>
      </c>
      <c r="Q82" s="29" t="s">
        <v>201</v>
      </c>
      <c r="R82" s="29" t="s">
        <v>739</v>
      </c>
      <c r="S82" s="29" t="s">
        <v>28</v>
      </c>
      <c r="T82" s="33" t="s">
        <v>740</v>
      </c>
      <c r="U82" s="29" t="s">
        <v>737</v>
      </c>
      <c r="V82" s="36" t="s">
        <v>738</v>
      </c>
      <c r="W82" s="101"/>
      <c r="X82" s="91"/>
      <c r="Y82" s="92" t="s">
        <v>903</v>
      </c>
      <c r="Z82" s="93"/>
      <c r="AA82" s="149">
        <f>VLOOKUP(D82,[2]nohahut!$B:$D,3,0)</f>
        <v>43838</v>
      </c>
      <c r="AB82" s="146">
        <v>46091</v>
      </c>
      <c r="AC82" s="152" t="s">
        <v>674</v>
      </c>
    </row>
    <row r="83" spans="1:29" ht="20.100000000000001" customHeight="1">
      <c r="A83" s="26">
        <f ca="1">IF(P83&lt;"",ROW()-1,"")</f>
        <v>82</v>
      </c>
      <c r="B83" s="42">
        <f>IF(ISBLANK(D83),0,IF(F83&lt;&gt;F82,1,1+B82))</f>
        <v>8</v>
      </c>
      <c r="C83" s="116" t="s">
        <v>881</v>
      </c>
      <c r="D83" s="117">
        <v>11542644</v>
      </c>
      <c r="E83" s="28" t="s">
        <v>82</v>
      </c>
      <c r="F83" s="29" t="s">
        <v>261</v>
      </c>
      <c r="G83" s="49" t="s">
        <v>14</v>
      </c>
      <c r="H83" s="43" t="s">
        <v>945</v>
      </c>
      <c r="I83" s="49" t="s">
        <v>946</v>
      </c>
      <c r="J83" s="133"/>
      <c r="K83" s="39" t="s">
        <v>32</v>
      </c>
      <c r="L83" s="58" t="s">
        <v>882</v>
      </c>
      <c r="M83" s="29" t="s">
        <v>883</v>
      </c>
      <c r="N83" s="122"/>
      <c r="O83" s="34">
        <v>18606</v>
      </c>
      <c r="P83" s="35">
        <f ca="1">(TODAY()-O83)/365</f>
        <v>75.589041095890408</v>
      </c>
      <c r="Q83" s="122" t="s">
        <v>20</v>
      </c>
      <c r="R83" s="122" t="s">
        <v>884</v>
      </c>
      <c r="S83" s="122" t="s">
        <v>26</v>
      </c>
      <c r="T83" s="124" t="s">
        <v>885</v>
      </c>
      <c r="U83" s="29" t="s">
        <v>1047</v>
      </c>
      <c r="V83" s="36" t="s">
        <v>886</v>
      </c>
      <c r="W83" s="101" t="s">
        <v>1023</v>
      </c>
      <c r="X83" s="128" t="s">
        <v>903</v>
      </c>
      <c r="Y83" s="129"/>
      <c r="Z83" s="130"/>
      <c r="AA83" s="149">
        <f>VLOOKUP(D83,[2]nohahut!$B:$D,3,0)</f>
        <v>46089</v>
      </c>
      <c r="AB83" s="146">
        <v>46157</v>
      </c>
      <c r="AC83" s="152" t="s">
        <v>674</v>
      </c>
    </row>
    <row r="84" spans="1:29" ht="20.100000000000001" customHeight="1">
      <c r="A84" s="26">
        <f ca="1">IF(P84&lt;"",ROW()-1,"")</f>
        <v>83</v>
      </c>
      <c r="B84" s="42">
        <f>IF(ISBLANK(D84),0,IF(F84&lt;&gt;F83,1,1+B83))</f>
        <v>9</v>
      </c>
      <c r="C84" s="27" t="s">
        <v>414</v>
      </c>
      <c r="D84" s="109">
        <v>36939916</v>
      </c>
      <c r="E84" s="27" t="s">
        <v>82</v>
      </c>
      <c r="F84" s="29" t="s">
        <v>261</v>
      </c>
      <c r="G84" s="30" t="s">
        <v>14</v>
      </c>
      <c r="H84" s="31" t="s">
        <v>947</v>
      </c>
      <c r="I84" s="30" t="s">
        <v>909</v>
      </c>
      <c r="J84" s="43" t="s">
        <v>16</v>
      </c>
      <c r="K84" s="39" t="s">
        <v>32</v>
      </c>
      <c r="L84" s="37" t="s">
        <v>340</v>
      </c>
      <c r="M84" s="29" t="s">
        <v>577</v>
      </c>
      <c r="N84" s="29" t="s">
        <v>16</v>
      </c>
      <c r="O84" s="34">
        <v>31020</v>
      </c>
      <c r="P84" s="35">
        <f ca="1">(TODAY()-O84)/365</f>
        <v>41.578082191780823</v>
      </c>
      <c r="Q84" s="29" t="s">
        <v>341</v>
      </c>
      <c r="R84" s="29" t="s">
        <v>578</v>
      </c>
      <c r="S84" s="29" t="s">
        <v>21</v>
      </c>
      <c r="T84" s="33" t="s">
        <v>579</v>
      </c>
      <c r="U84" s="108" t="s">
        <v>845</v>
      </c>
      <c r="V84" s="55" t="s">
        <v>1075</v>
      </c>
      <c r="W84" s="102"/>
      <c r="X84" s="91"/>
      <c r="Y84" s="92" t="s">
        <v>903</v>
      </c>
      <c r="Z84" s="93"/>
      <c r="AA84" s="149">
        <f>VLOOKUP(D84,[2]nohahut!$B:$D,3,0)</f>
        <v>46026</v>
      </c>
      <c r="AB84" s="146">
        <v>46124</v>
      </c>
      <c r="AC84" s="152" t="s">
        <v>674</v>
      </c>
    </row>
    <row r="85" spans="1:29" ht="20.100000000000001" customHeight="1">
      <c r="A85" s="26">
        <f ca="1">IF(P85&lt;"",ROW()-1,"")</f>
        <v>84</v>
      </c>
      <c r="B85" s="42">
        <f>IF(ISBLANK(D85),0,IF(F85&lt;&gt;F84,1,1+B84))</f>
        <v>10</v>
      </c>
      <c r="C85" s="27" t="s">
        <v>396</v>
      </c>
      <c r="D85" s="109">
        <v>28973782</v>
      </c>
      <c r="E85" s="27" t="s">
        <v>82</v>
      </c>
      <c r="F85" s="29" t="s">
        <v>261</v>
      </c>
      <c r="G85" s="39" t="s">
        <v>14</v>
      </c>
      <c r="H85" s="51" t="s">
        <v>948</v>
      </c>
      <c r="I85" s="39" t="s">
        <v>949</v>
      </c>
      <c r="J85" s="31"/>
      <c r="K85" s="30" t="s">
        <v>32</v>
      </c>
      <c r="L85" s="37" t="s">
        <v>214</v>
      </c>
      <c r="M85" s="29" t="s">
        <v>292</v>
      </c>
      <c r="N85" s="29" t="s">
        <v>16</v>
      </c>
      <c r="O85" s="34">
        <v>26380</v>
      </c>
      <c r="P85" s="35">
        <f ca="1">(TODAY()-O85)/365</f>
        <v>54.290410958904111</v>
      </c>
      <c r="Q85" s="29" t="s">
        <v>108</v>
      </c>
      <c r="R85" s="29" t="s">
        <v>224</v>
      </c>
      <c r="S85" s="29" t="s">
        <v>108</v>
      </c>
      <c r="T85" s="33" t="s">
        <v>312</v>
      </c>
      <c r="U85" s="29"/>
      <c r="V85" s="36"/>
      <c r="W85" s="101" t="s">
        <v>1023</v>
      </c>
      <c r="X85" s="91"/>
      <c r="Y85" s="92" t="s">
        <v>903</v>
      </c>
      <c r="Z85" s="93"/>
      <c r="AA85" s="149">
        <f>VLOOKUP(D85,[2]nohahut!$B:$D,3,0)</f>
        <v>44215</v>
      </c>
      <c r="AB85" s="146">
        <v>44945</v>
      </c>
      <c r="AC85" s="152" t="s">
        <v>674</v>
      </c>
    </row>
    <row r="86" spans="1:29" ht="20.100000000000001" customHeight="1">
      <c r="A86" s="26">
        <f ca="1">IF(P86&lt;"",ROW()-1,"")</f>
        <v>85</v>
      </c>
      <c r="B86" s="42">
        <f>IF(ISBLANK(D86),0,IF(F86&lt;&gt;F85,1,1+B85))</f>
        <v>11</v>
      </c>
      <c r="C86" s="27" t="s">
        <v>232</v>
      </c>
      <c r="D86" s="109">
        <v>14990212</v>
      </c>
      <c r="E86" s="28" t="s">
        <v>82</v>
      </c>
      <c r="F86" s="29" t="s">
        <v>261</v>
      </c>
      <c r="G86" s="30" t="s">
        <v>14</v>
      </c>
      <c r="H86" s="31" t="s">
        <v>950</v>
      </c>
      <c r="I86" s="30" t="s">
        <v>918</v>
      </c>
      <c r="J86" s="31" t="s">
        <v>235</v>
      </c>
      <c r="K86" s="30" t="s">
        <v>32</v>
      </c>
      <c r="L86" s="37" t="s">
        <v>241</v>
      </c>
      <c r="M86" s="29" t="s">
        <v>281</v>
      </c>
      <c r="N86" s="29" t="s">
        <v>304</v>
      </c>
      <c r="O86" s="34">
        <v>19323</v>
      </c>
      <c r="P86" s="35">
        <f ca="1">(TODAY()-O86)/365</f>
        <v>73.62465753424658</v>
      </c>
      <c r="Q86" s="29" t="s">
        <v>20</v>
      </c>
      <c r="R86" s="29" t="s">
        <v>741</v>
      </c>
      <c r="S86" s="29" t="s">
        <v>221</v>
      </c>
      <c r="T86" s="33" t="s">
        <v>742</v>
      </c>
      <c r="U86" s="29" t="s">
        <v>743</v>
      </c>
      <c r="V86" s="36" t="s">
        <v>744</v>
      </c>
      <c r="W86" s="101"/>
      <c r="X86" s="91" t="s">
        <v>903</v>
      </c>
      <c r="Y86" s="92"/>
      <c r="Z86" s="93"/>
      <c r="AA86" s="149">
        <f>VLOOKUP(D86,[2]nohahut!$B:$D,3,0)</f>
        <v>37530</v>
      </c>
      <c r="AB86" s="146">
        <v>45063</v>
      </c>
      <c r="AC86" s="152" t="s">
        <v>672</v>
      </c>
    </row>
    <row r="87" spans="1:29" ht="20.100000000000001" customHeight="1">
      <c r="A87" s="26">
        <f ca="1">IF(P87&lt;"",ROW()-1,"")</f>
        <v>86</v>
      </c>
      <c r="B87" s="42">
        <f>IF(ISBLANK(D87),0,IF(F87&lt;&gt;F86,1,1+B86))</f>
        <v>12</v>
      </c>
      <c r="C87" s="116" t="s">
        <v>710</v>
      </c>
      <c r="D87" s="117">
        <v>324537364</v>
      </c>
      <c r="E87" s="28" t="s">
        <v>82</v>
      </c>
      <c r="F87" s="29" t="s">
        <v>261</v>
      </c>
      <c r="G87" s="39" t="s">
        <v>88</v>
      </c>
      <c r="H87" s="51" t="s">
        <v>951</v>
      </c>
      <c r="I87" s="39" t="s">
        <v>952</v>
      </c>
      <c r="J87" s="133"/>
      <c r="K87" s="39" t="s">
        <v>32</v>
      </c>
      <c r="L87" s="37" t="s">
        <v>711</v>
      </c>
      <c r="M87" s="29" t="s">
        <v>712</v>
      </c>
      <c r="N87" s="29"/>
      <c r="O87" s="34">
        <v>27165</v>
      </c>
      <c r="P87" s="35">
        <f ca="1">(TODAY()-O87)/365</f>
        <v>52.139726027397259</v>
      </c>
      <c r="Q87" s="29" t="s">
        <v>20</v>
      </c>
      <c r="R87" s="44" t="s">
        <v>767</v>
      </c>
      <c r="S87" s="44" t="s">
        <v>768</v>
      </c>
      <c r="T87" s="115" t="s">
        <v>788</v>
      </c>
      <c r="U87" s="124" t="s">
        <v>713</v>
      </c>
      <c r="V87" s="127"/>
      <c r="W87" s="101"/>
      <c r="X87" s="91"/>
      <c r="Y87" s="92" t="s">
        <v>903</v>
      </c>
      <c r="Z87" s="93"/>
      <c r="AA87" s="149">
        <f>VLOOKUP(D87,[2]nohahut!$B:$D,3,0)</f>
        <v>45903</v>
      </c>
      <c r="AB87" s="146">
        <v>46145</v>
      </c>
      <c r="AC87" s="157" t="s">
        <v>672</v>
      </c>
    </row>
    <row r="88" spans="1:29" ht="20.100000000000001" customHeight="1">
      <c r="A88" s="26">
        <f ca="1">IF(P88&lt;"",ROW()-1,"")</f>
        <v>87</v>
      </c>
      <c r="B88" s="42">
        <f>IF(ISBLANK(D88),0,IF(F88&lt;&gt;F87,1,1+B87))</f>
        <v>13</v>
      </c>
      <c r="C88" s="27" t="s">
        <v>256</v>
      </c>
      <c r="D88" s="109">
        <v>24277014</v>
      </c>
      <c r="E88" s="27" t="s">
        <v>82</v>
      </c>
      <c r="F88" s="29" t="s">
        <v>261</v>
      </c>
      <c r="G88" s="30" t="s">
        <v>22</v>
      </c>
      <c r="H88" s="31" t="s">
        <v>953</v>
      </c>
      <c r="I88" s="30" t="s">
        <v>954</v>
      </c>
      <c r="J88" s="31" t="s">
        <v>56</v>
      </c>
      <c r="K88" s="30" t="s">
        <v>32</v>
      </c>
      <c r="L88" s="37" t="s">
        <v>57</v>
      </c>
      <c r="M88" s="29" t="s">
        <v>58</v>
      </c>
      <c r="N88" s="29" t="s">
        <v>59</v>
      </c>
      <c r="O88" s="34">
        <v>25439</v>
      </c>
      <c r="P88" s="35">
        <f ca="1">(TODAY()-O88)/365</f>
        <v>56.868493150684934</v>
      </c>
      <c r="Q88" s="29" t="s">
        <v>24</v>
      </c>
      <c r="R88" s="29" t="s">
        <v>774</v>
      </c>
      <c r="S88" s="29" t="s">
        <v>775</v>
      </c>
      <c r="T88" s="33" t="s">
        <v>1018</v>
      </c>
      <c r="U88" s="29"/>
      <c r="V88" s="55"/>
      <c r="W88" s="102" t="s">
        <v>1023</v>
      </c>
      <c r="X88" s="91"/>
      <c r="Y88" s="92" t="s">
        <v>903</v>
      </c>
      <c r="Z88" s="93"/>
      <c r="AA88" s="149">
        <f>VLOOKUP(D88,[2]nohahut!$B:$D,3,0)</f>
        <v>41640</v>
      </c>
      <c r="AB88" s="146">
        <v>45270</v>
      </c>
      <c r="AC88" s="152" t="s">
        <v>674</v>
      </c>
    </row>
    <row r="89" spans="1:29" ht="20.100000000000001" customHeight="1">
      <c r="A89" s="26">
        <f ca="1">IF(P89&lt;"",ROW()-1,"")</f>
        <v>88</v>
      </c>
      <c r="B89" s="42">
        <f>IF(ISBLANK(D89),0,IF(F89&lt;&gt;F88,1,1+B88))</f>
        <v>14</v>
      </c>
      <c r="C89" s="27" t="s">
        <v>195</v>
      </c>
      <c r="D89" s="109">
        <v>59597799</v>
      </c>
      <c r="E89" s="28" t="s">
        <v>82</v>
      </c>
      <c r="F89" s="29" t="s">
        <v>261</v>
      </c>
      <c r="G89" s="30" t="s">
        <v>22</v>
      </c>
      <c r="H89" s="31" t="s">
        <v>959</v>
      </c>
      <c r="I89" s="30" t="s">
        <v>955</v>
      </c>
      <c r="J89" s="31" t="s">
        <v>16</v>
      </c>
      <c r="K89" s="30" t="s">
        <v>32</v>
      </c>
      <c r="L89" s="37" t="s">
        <v>200</v>
      </c>
      <c r="M89" s="29" t="s">
        <v>202</v>
      </c>
      <c r="N89" s="29" t="s">
        <v>16</v>
      </c>
      <c r="O89" s="34">
        <v>23915</v>
      </c>
      <c r="P89" s="35">
        <f ca="1">(TODAY()-O89)/365</f>
        <v>61.043835616438358</v>
      </c>
      <c r="Q89" s="29" t="s">
        <v>24</v>
      </c>
      <c r="R89" s="29" t="s">
        <v>746</v>
      </c>
      <c r="S89" s="29" t="s">
        <v>28</v>
      </c>
      <c r="T89" s="33" t="s">
        <v>208</v>
      </c>
      <c r="U89" s="29" t="s">
        <v>1103</v>
      </c>
      <c r="V89" s="55" t="s">
        <v>747</v>
      </c>
      <c r="W89" s="102"/>
      <c r="X89" s="91" t="s">
        <v>903</v>
      </c>
      <c r="Y89" s="92"/>
      <c r="Z89" s="93"/>
      <c r="AA89" s="149">
        <f>VLOOKUP(D89,[2]nohahut!$B:$D,3,0)</f>
        <v>43709</v>
      </c>
      <c r="AB89" s="146">
        <v>45070</v>
      </c>
      <c r="AC89" s="152" t="s">
        <v>672</v>
      </c>
    </row>
    <row r="90" spans="1:29" ht="20.100000000000001" customHeight="1">
      <c r="A90" s="26">
        <f ca="1">IF(P90&lt;"",ROW()-1,"")</f>
        <v>89</v>
      </c>
      <c r="B90" s="42">
        <f>IF(ISBLANK(D90),0,IF(F90&lt;&gt;F89,1,1+B89))</f>
        <v>15</v>
      </c>
      <c r="C90" s="116" t="s">
        <v>315</v>
      </c>
      <c r="D90" s="117">
        <v>333877306</v>
      </c>
      <c r="E90" s="28" t="s">
        <v>82</v>
      </c>
      <c r="F90" s="29" t="s">
        <v>261</v>
      </c>
      <c r="G90" s="131" t="s">
        <v>22</v>
      </c>
      <c r="H90" s="132"/>
      <c r="I90" s="131"/>
      <c r="J90" s="132" t="s">
        <v>16</v>
      </c>
      <c r="K90" s="134" t="s">
        <v>32</v>
      </c>
      <c r="L90" s="63" t="s">
        <v>831</v>
      </c>
      <c r="M90" s="29" t="s">
        <v>316</v>
      </c>
      <c r="N90" s="122" t="s">
        <v>16</v>
      </c>
      <c r="O90" s="34">
        <v>34231</v>
      </c>
      <c r="P90" s="35">
        <f ca="1">(TODAY()-O90)/365</f>
        <v>32.780821917808218</v>
      </c>
      <c r="Q90" s="122" t="s">
        <v>144</v>
      </c>
      <c r="R90" s="122" t="s">
        <v>131</v>
      </c>
      <c r="S90" s="122" t="s">
        <v>24</v>
      </c>
      <c r="T90" s="124" t="s">
        <v>317</v>
      </c>
      <c r="U90" s="29" t="s">
        <v>1092</v>
      </c>
      <c r="V90" s="36" t="s">
        <v>1093</v>
      </c>
      <c r="W90" s="101"/>
      <c r="X90" s="128"/>
      <c r="Y90" s="129" t="s">
        <v>903</v>
      </c>
      <c r="Z90" s="130"/>
      <c r="AA90" s="149">
        <f>VLOOKUP(D90,[2]nohahut!$B:$D,3,0)</f>
        <v>45970</v>
      </c>
      <c r="AB90" s="146">
        <v>44823</v>
      </c>
      <c r="AC90" s="152" t="s">
        <v>674</v>
      </c>
    </row>
    <row r="91" spans="1:29" ht="20.100000000000001" customHeight="1">
      <c r="A91" s="26">
        <f ca="1">IF(P91&lt;"",ROW()-1,"")</f>
        <v>90</v>
      </c>
      <c r="B91" s="42">
        <f>IF(ISBLANK(D91),0,IF(F91&lt;&gt;F90,1,1+B90))</f>
        <v>16</v>
      </c>
      <c r="C91" s="27" t="s">
        <v>257</v>
      </c>
      <c r="D91" s="109">
        <v>14280978</v>
      </c>
      <c r="E91" s="116" t="s">
        <v>82</v>
      </c>
      <c r="F91" s="29" t="s">
        <v>261</v>
      </c>
      <c r="G91" s="30" t="s">
        <v>14</v>
      </c>
      <c r="H91" s="31" t="s">
        <v>956</v>
      </c>
      <c r="I91" s="30" t="s">
        <v>932</v>
      </c>
      <c r="J91" s="31" t="s">
        <v>16</v>
      </c>
      <c r="K91" s="30" t="s">
        <v>32</v>
      </c>
      <c r="L91" s="37" t="s">
        <v>61</v>
      </c>
      <c r="M91" s="29" t="s">
        <v>288</v>
      </c>
      <c r="N91" s="29" t="s">
        <v>16</v>
      </c>
      <c r="O91" s="34">
        <v>20069</v>
      </c>
      <c r="P91" s="35">
        <f ca="1">(TODAY()-O91)/365</f>
        <v>71.580821917808223</v>
      </c>
      <c r="Q91" s="29" t="s">
        <v>15</v>
      </c>
      <c r="R91" s="29" t="s">
        <v>60</v>
      </c>
      <c r="S91" s="29" t="s">
        <v>15</v>
      </c>
      <c r="T91" s="33" t="s">
        <v>62</v>
      </c>
      <c r="U91" s="29"/>
      <c r="V91" s="55"/>
      <c r="W91" s="102" t="s">
        <v>1023</v>
      </c>
      <c r="X91" s="91" t="s">
        <v>903</v>
      </c>
      <c r="Y91" s="92"/>
      <c r="Z91" s="93"/>
      <c r="AA91" s="149">
        <f>VLOOKUP(D91,[2]nohahut!$B:$D,3,0)</f>
        <v>36526</v>
      </c>
      <c r="AB91" s="146">
        <v>46168</v>
      </c>
      <c r="AC91" s="152" t="s">
        <v>674</v>
      </c>
    </row>
    <row r="92" spans="1:29" ht="20.100000000000001" customHeight="1">
      <c r="A92" s="26">
        <f ca="1">IF(P92&lt;"",ROW()-1,"")</f>
        <v>91</v>
      </c>
      <c r="B92" s="42">
        <f>IF(ISBLANK(D92),0,IF(F92&lt;&gt;F91,1,1+B91))</f>
        <v>17</v>
      </c>
      <c r="C92" s="27" t="s">
        <v>258</v>
      </c>
      <c r="D92" s="109">
        <v>14657175</v>
      </c>
      <c r="E92" s="27" t="s">
        <v>82</v>
      </c>
      <c r="F92" s="29" t="s">
        <v>261</v>
      </c>
      <c r="G92" s="30" t="s">
        <v>14</v>
      </c>
      <c r="H92" s="31" t="s">
        <v>960</v>
      </c>
      <c r="I92" s="30" t="s">
        <v>938</v>
      </c>
      <c r="J92" s="31"/>
      <c r="K92" s="30" t="s">
        <v>32</v>
      </c>
      <c r="L92" s="37" t="s">
        <v>63</v>
      </c>
      <c r="M92" s="29" t="s">
        <v>64</v>
      </c>
      <c r="N92" s="29" t="s">
        <v>65</v>
      </c>
      <c r="O92" s="34">
        <v>21682</v>
      </c>
      <c r="P92" s="35">
        <f ca="1">(TODAY()-O92)/365</f>
        <v>67.161643835616445</v>
      </c>
      <c r="Q92" s="29" t="s">
        <v>20</v>
      </c>
      <c r="R92" s="29" t="s">
        <v>748</v>
      </c>
      <c r="S92" s="29" t="s">
        <v>26</v>
      </c>
      <c r="T92" s="33" t="s">
        <v>750</v>
      </c>
      <c r="U92" s="29"/>
      <c r="V92" s="55"/>
      <c r="W92" s="102" t="s">
        <v>1023</v>
      </c>
      <c r="X92" s="91"/>
      <c r="Y92" s="92" t="s">
        <v>903</v>
      </c>
      <c r="Z92" s="93"/>
      <c r="AA92" s="149">
        <f>VLOOKUP(D92,[2]nohahut!$B:$D,3,0)</f>
        <v>43269</v>
      </c>
      <c r="AB92" s="146">
        <v>44955</v>
      </c>
      <c r="AC92" s="152" t="s">
        <v>672</v>
      </c>
    </row>
    <row r="93" spans="1:29" ht="20.100000000000001" customHeight="1">
      <c r="A93" s="26">
        <f ca="1">IF(P93&lt;"",ROW()-1,"")</f>
        <v>92</v>
      </c>
      <c r="B93" s="42">
        <f>IF(ISBLANK(D93),0,IF(F93&lt;&gt;F92,1,1+B92))</f>
        <v>18</v>
      </c>
      <c r="C93" s="27" t="s">
        <v>514</v>
      </c>
      <c r="D93" s="109">
        <v>312047897</v>
      </c>
      <c r="E93" s="28" t="s">
        <v>82</v>
      </c>
      <c r="F93" s="29" t="s">
        <v>261</v>
      </c>
      <c r="G93" s="49" t="s">
        <v>14</v>
      </c>
      <c r="H93" s="43"/>
      <c r="I93" s="49"/>
      <c r="J93" s="31"/>
      <c r="K93" s="39" t="s">
        <v>32</v>
      </c>
      <c r="L93" s="37" t="s">
        <v>714</v>
      </c>
      <c r="M93" s="29" t="s">
        <v>515</v>
      </c>
      <c r="N93" s="29"/>
      <c r="O93" s="34">
        <v>22588</v>
      </c>
      <c r="P93" s="35">
        <f ca="1">(TODAY()-O93)/365</f>
        <v>64.679452054794524</v>
      </c>
      <c r="Q93" s="29" t="s">
        <v>20</v>
      </c>
      <c r="R93" s="29" t="s">
        <v>715</v>
      </c>
      <c r="S93" s="29" t="s">
        <v>724</v>
      </c>
      <c r="T93" s="69" t="s">
        <v>716</v>
      </c>
      <c r="U93" s="29" t="s">
        <v>715</v>
      </c>
      <c r="V93" s="55" t="s">
        <v>841</v>
      </c>
      <c r="W93" s="102"/>
      <c r="X93" s="91"/>
      <c r="Y93" s="92" t="s">
        <v>903</v>
      </c>
      <c r="Z93" s="93"/>
      <c r="AA93" s="149">
        <f>VLOOKUP(D93,[2]nohahut!$B:$D,3,0)</f>
        <v>45005</v>
      </c>
      <c r="AB93" s="146">
        <v>45819</v>
      </c>
      <c r="AC93" s="152" t="s">
        <v>672</v>
      </c>
    </row>
    <row r="94" spans="1:29" ht="20.100000000000001" customHeight="1">
      <c r="A94" s="26">
        <f ca="1">IF(P94&lt;"",ROW()-1,"")</f>
        <v>93</v>
      </c>
      <c r="B94" s="42">
        <f>IF(ISBLANK(D94),0,IF(F94&lt;&gt;F93,1,1+B93))</f>
        <v>19</v>
      </c>
      <c r="C94" s="27" t="s">
        <v>865</v>
      </c>
      <c r="D94" s="109">
        <v>309597060</v>
      </c>
      <c r="E94" s="28" t="s">
        <v>82</v>
      </c>
      <c r="F94" s="29" t="s">
        <v>261</v>
      </c>
      <c r="G94" s="30" t="s">
        <v>14</v>
      </c>
      <c r="H94" s="31" t="s">
        <v>961</v>
      </c>
      <c r="I94" s="30" t="s">
        <v>909</v>
      </c>
      <c r="J94" s="31" t="s">
        <v>66</v>
      </c>
      <c r="K94" s="30" t="s">
        <v>67</v>
      </c>
      <c r="L94" s="37" t="s">
        <v>866</v>
      </c>
      <c r="M94" s="29" t="s">
        <v>867</v>
      </c>
      <c r="N94" s="29"/>
      <c r="O94" s="34">
        <v>25934</v>
      </c>
      <c r="P94" s="35">
        <f ca="1">(TODAY()-O94)/365</f>
        <v>55.512328767123286</v>
      </c>
      <c r="Q94" s="29" t="s">
        <v>18</v>
      </c>
      <c r="R94" s="29" t="s">
        <v>749</v>
      </c>
      <c r="S94" s="29" t="s">
        <v>28</v>
      </c>
      <c r="T94" s="33" t="s">
        <v>868</v>
      </c>
      <c r="U94" s="29" t="s">
        <v>751</v>
      </c>
      <c r="V94" s="55" t="s">
        <v>841</v>
      </c>
      <c r="W94" s="102"/>
      <c r="X94" s="91" t="s">
        <v>903</v>
      </c>
      <c r="Y94" s="92"/>
      <c r="Z94" s="93"/>
      <c r="AA94" s="149">
        <f>VLOOKUP(D94,[2]nohahut!$B:$D,3,0)</f>
        <v>46068</v>
      </c>
      <c r="AB94" s="146">
        <v>46132</v>
      </c>
      <c r="AC94" s="157" t="s">
        <v>672</v>
      </c>
    </row>
    <row r="95" spans="1:29" ht="20.100000000000001" customHeight="1">
      <c r="A95" s="26">
        <f ca="1">IF(P95&lt;"",ROW()-1,"")</f>
        <v>94</v>
      </c>
      <c r="B95" s="42">
        <f>IF(ISBLANK(D95),0,IF(F95&lt;&gt;F94,1,1+B94))</f>
        <v>20</v>
      </c>
      <c r="C95" s="27" t="s">
        <v>484</v>
      </c>
      <c r="D95" s="109">
        <v>54751573</v>
      </c>
      <c r="E95" s="27" t="s">
        <v>82</v>
      </c>
      <c r="F95" s="29" t="s">
        <v>261</v>
      </c>
      <c r="G95" s="30" t="s">
        <v>14</v>
      </c>
      <c r="H95" s="31" t="s">
        <v>951</v>
      </c>
      <c r="I95" s="30" t="s">
        <v>952</v>
      </c>
      <c r="J95" s="31" t="s">
        <v>16</v>
      </c>
      <c r="K95" s="30" t="s">
        <v>32</v>
      </c>
      <c r="L95" s="37" t="s">
        <v>68</v>
      </c>
      <c r="M95" s="29" t="s">
        <v>69</v>
      </c>
      <c r="N95" s="29" t="s">
        <v>16</v>
      </c>
      <c r="O95" s="34">
        <v>20971</v>
      </c>
      <c r="P95" s="35">
        <f ca="1">(TODAY()-O95)/365</f>
        <v>69.109589041095887</v>
      </c>
      <c r="Q95" s="29" t="s">
        <v>20</v>
      </c>
      <c r="R95" s="29" t="s">
        <v>70</v>
      </c>
      <c r="S95" s="29" t="s">
        <v>18</v>
      </c>
      <c r="T95" s="33" t="s">
        <v>71</v>
      </c>
      <c r="U95" s="29"/>
      <c r="V95" s="55"/>
      <c r="W95" s="102" t="s">
        <v>1023</v>
      </c>
      <c r="X95" s="91"/>
      <c r="Y95" s="92" t="s">
        <v>903</v>
      </c>
      <c r="Z95" s="93"/>
      <c r="AA95" s="149">
        <f>VLOOKUP(D95,[2]nohahut!$B:$D,3,0)</f>
        <v>41640</v>
      </c>
      <c r="AB95" s="146">
        <v>45195</v>
      </c>
      <c r="AC95" s="152" t="s">
        <v>672</v>
      </c>
    </row>
    <row r="96" spans="1:29" ht="20.100000000000001" customHeight="1">
      <c r="A96" s="26">
        <f ca="1">IF(P96&lt;"",ROW()-1,"")</f>
        <v>95</v>
      </c>
      <c r="B96" s="42">
        <f>IF(ISBLANK(D96),0,IF(F96&lt;&gt;F95,1,1+B95))</f>
        <v>21</v>
      </c>
      <c r="C96" s="27" t="s">
        <v>483</v>
      </c>
      <c r="D96" s="109">
        <v>37358249</v>
      </c>
      <c r="E96" s="28" t="s">
        <v>82</v>
      </c>
      <c r="F96" s="29" t="s">
        <v>261</v>
      </c>
      <c r="G96" s="30" t="s">
        <v>14</v>
      </c>
      <c r="H96" s="31" t="s">
        <v>1005</v>
      </c>
      <c r="I96" s="30" t="s">
        <v>920</v>
      </c>
      <c r="J96" s="31"/>
      <c r="K96" s="30" t="s">
        <v>32</v>
      </c>
      <c r="L96" s="37" t="s">
        <v>72</v>
      </c>
      <c r="M96" s="29" t="s">
        <v>73</v>
      </c>
      <c r="N96" s="29" t="s">
        <v>16</v>
      </c>
      <c r="O96" s="34">
        <v>29212</v>
      </c>
      <c r="P96" s="35">
        <f ca="1">(TODAY()-O96)/365</f>
        <v>46.531506849315072</v>
      </c>
      <c r="Q96" s="29" t="s">
        <v>20</v>
      </c>
      <c r="R96" s="29" t="s">
        <v>752</v>
      </c>
      <c r="S96" s="29" t="s">
        <v>753</v>
      </c>
      <c r="T96" s="33" t="s">
        <v>754</v>
      </c>
      <c r="U96" s="29" t="s">
        <v>751</v>
      </c>
      <c r="V96" s="55" t="s">
        <v>841</v>
      </c>
      <c r="W96" s="101"/>
      <c r="X96" s="91" t="s">
        <v>903</v>
      </c>
      <c r="Y96" s="92"/>
      <c r="Z96" s="93"/>
      <c r="AA96" s="149">
        <f>VLOOKUP(D96,[2]nohahut!$B:$D,3,0)</f>
        <v>43226</v>
      </c>
      <c r="AB96" s="146">
        <v>45195</v>
      </c>
      <c r="AC96" s="152" t="s">
        <v>672</v>
      </c>
    </row>
    <row r="97" spans="1:29" ht="20.100000000000001" customHeight="1">
      <c r="A97" s="26">
        <f ca="1">IF(P97&lt;"",ROW()-1,"")</f>
        <v>96</v>
      </c>
      <c r="B97" s="114">
        <f>IF(ISBLANK(D97),0,IF(F97&lt;&gt;F96,1,1+B96))</f>
        <v>22</v>
      </c>
      <c r="C97" s="27" t="s">
        <v>659</v>
      </c>
      <c r="D97" s="109">
        <v>28477826</v>
      </c>
      <c r="E97" s="28" t="s">
        <v>82</v>
      </c>
      <c r="F97" s="29" t="s">
        <v>261</v>
      </c>
      <c r="G97" s="49" t="s">
        <v>14</v>
      </c>
      <c r="H97" s="43" t="s">
        <v>962</v>
      </c>
      <c r="I97" s="49" t="s">
        <v>963</v>
      </c>
      <c r="J97" s="43"/>
      <c r="K97" s="39" t="s">
        <v>32</v>
      </c>
      <c r="L97" s="37" t="s">
        <v>125</v>
      </c>
      <c r="M97" s="29" t="s">
        <v>695</v>
      </c>
      <c r="N97" s="29"/>
      <c r="O97" s="34">
        <v>26110</v>
      </c>
      <c r="P97" s="35">
        <f ca="1">(TODAY()-O97)/365</f>
        <v>55.030136986301372</v>
      </c>
      <c r="Q97" s="29" t="s">
        <v>17</v>
      </c>
      <c r="R97" s="29" t="s">
        <v>776</v>
      </c>
      <c r="S97" s="29" t="s">
        <v>24</v>
      </c>
      <c r="T97" s="33" t="s">
        <v>789</v>
      </c>
      <c r="U97" s="29" t="s">
        <v>1050</v>
      </c>
      <c r="V97" s="36" t="s">
        <v>701</v>
      </c>
      <c r="W97" s="101"/>
      <c r="X97" s="91" t="s">
        <v>903</v>
      </c>
      <c r="Y97" s="92"/>
      <c r="Z97" s="93"/>
      <c r="AA97" s="149">
        <f>VLOOKUP(D97,[2]nohahut!$B:$D,3,0)</f>
        <v>43398</v>
      </c>
      <c r="AB97" s="146">
        <v>45868</v>
      </c>
      <c r="AC97" s="152" t="s">
        <v>672</v>
      </c>
    </row>
    <row r="98" spans="1:29" ht="20.100000000000001" customHeight="1">
      <c r="A98" s="26">
        <f ca="1">IF(P98&lt;"",ROW()-1,"")</f>
        <v>97</v>
      </c>
      <c r="B98" s="42">
        <f>IF(ISBLANK(D98),0,IF(F98&lt;&gt;F97,1,1+B97))</f>
        <v>23</v>
      </c>
      <c r="C98" s="144" t="s">
        <v>1058</v>
      </c>
      <c r="D98" s="110">
        <v>311374946</v>
      </c>
      <c r="E98" s="28" t="s">
        <v>82</v>
      </c>
      <c r="F98" s="29" t="s">
        <v>261</v>
      </c>
      <c r="G98" s="46" t="s">
        <v>14</v>
      </c>
      <c r="H98" s="87" t="s">
        <v>1062</v>
      </c>
      <c r="I98" s="46" t="s">
        <v>1063</v>
      </c>
      <c r="J98" s="47"/>
      <c r="K98" s="39" t="s">
        <v>32</v>
      </c>
      <c r="L98" s="54" t="s">
        <v>309</v>
      </c>
      <c r="M98" s="38" t="s">
        <v>1059</v>
      </c>
      <c r="N98" s="38"/>
      <c r="O98" s="45">
        <v>34210</v>
      </c>
      <c r="P98" s="40">
        <f ca="1">(TODAY()-O98)/365</f>
        <v>32.838356164383562</v>
      </c>
      <c r="Q98" s="38" t="s">
        <v>144</v>
      </c>
      <c r="R98" s="38" t="s">
        <v>1060</v>
      </c>
      <c r="S98" s="38" t="s">
        <v>24</v>
      </c>
      <c r="T98" s="41" t="s">
        <v>1061</v>
      </c>
      <c r="U98" s="29" t="s">
        <v>792</v>
      </c>
      <c r="V98" s="36" t="s">
        <v>791</v>
      </c>
      <c r="W98" s="101"/>
      <c r="X98" s="94"/>
      <c r="Y98" s="129" t="s">
        <v>903</v>
      </c>
      <c r="Z98" s="95"/>
      <c r="AA98" s="149">
        <v>46174</v>
      </c>
      <c r="AB98" s="146"/>
      <c r="AC98" s="152" t="s">
        <v>674</v>
      </c>
    </row>
    <row r="99" spans="1:29" ht="20.100000000000001" customHeight="1">
      <c r="A99" s="26">
        <f ca="1">IF(P99&lt;"",ROW()-1,"")</f>
        <v>98</v>
      </c>
      <c r="B99" s="42">
        <f>IF(ISBLANK(D99),0,IF(F99&lt;&gt;F98,1,1+B98))</f>
        <v>24</v>
      </c>
      <c r="C99" s="27" t="s">
        <v>843</v>
      </c>
      <c r="D99" s="109">
        <v>11115474</v>
      </c>
      <c r="E99" s="28" t="s">
        <v>82</v>
      </c>
      <c r="F99" s="29" t="s">
        <v>261</v>
      </c>
      <c r="G99" s="30" t="s">
        <v>14</v>
      </c>
      <c r="H99" s="31" t="s">
        <v>986</v>
      </c>
      <c r="I99" s="30" t="s">
        <v>985</v>
      </c>
      <c r="J99" s="31" t="s">
        <v>30</v>
      </c>
      <c r="K99" s="30" t="s">
        <v>32</v>
      </c>
      <c r="L99" s="37" t="s">
        <v>532</v>
      </c>
      <c r="M99" s="29" t="s">
        <v>793</v>
      </c>
      <c r="N99" s="29"/>
      <c r="O99" s="34">
        <v>17559</v>
      </c>
      <c r="P99" s="35">
        <f ca="1">(TODAY()-O99)/365</f>
        <v>78.457534246575349</v>
      </c>
      <c r="Q99" s="29" t="s">
        <v>533</v>
      </c>
      <c r="R99" s="29" t="s">
        <v>320</v>
      </c>
      <c r="S99" s="29" t="s">
        <v>28</v>
      </c>
      <c r="T99" s="69" t="s">
        <v>1039</v>
      </c>
      <c r="U99" s="108" t="s">
        <v>1104</v>
      </c>
      <c r="V99" s="55" t="s">
        <v>1040</v>
      </c>
      <c r="W99" s="102"/>
      <c r="X99" s="91"/>
      <c r="Y99" s="92" t="s">
        <v>903</v>
      </c>
      <c r="Z99" s="93"/>
      <c r="AA99" s="149">
        <f>VLOOKUP(D99,[2]nohahut!$B:$D,3,0)</f>
        <v>45036</v>
      </c>
      <c r="AB99" s="146">
        <v>45286</v>
      </c>
      <c r="AC99" s="152" t="s">
        <v>674</v>
      </c>
    </row>
    <row r="100" spans="1:29" ht="20.100000000000001" customHeight="1">
      <c r="A100" s="26">
        <f ca="1">IF(P100&lt;"",ROW()-1,"")</f>
        <v>99</v>
      </c>
      <c r="B100" s="42">
        <f>IF(ISBLANK(D100),0,IF(F100&lt;&gt;F99,1,1+B99))</f>
        <v>25</v>
      </c>
      <c r="C100" s="27" t="s">
        <v>259</v>
      </c>
      <c r="D100" s="109">
        <v>34076489</v>
      </c>
      <c r="E100" s="27" t="s">
        <v>82</v>
      </c>
      <c r="F100" s="29" t="s">
        <v>261</v>
      </c>
      <c r="G100" s="49" t="s">
        <v>14</v>
      </c>
      <c r="H100" s="43" t="s">
        <v>964</v>
      </c>
      <c r="I100" s="49" t="s">
        <v>909</v>
      </c>
      <c r="J100" s="43" t="s">
        <v>90</v>
      </c>
      <c r="K100" s="39" t="s">
        <v>32</v>
      </c>
      <c r="L100" s="86" t="s">
        <v>78</v>
      </c>
      <c r="M100" s="29" t="s">
        <v>79</v>
      </c>
      <c r="N100" s="29" t="s">
        <v>16</v>
      </c>
      <c r="O100" s="34">
        <v>28345</v>
      </c>
      <c r="P100" s="35">
        <f ca="1">(TODAY()-O100)/365</f>
        <v>48.906849315068492</v>
      </c>
      <c r="Q100" s="29" t="s">
        <v>24</v>
      </c>
      <c r="R100" s="29" t="s">
        <v>80</v>
      </c>
      <c r="S100" s="29" t="s">
        <v>24</v>
      </c>
      <c r="T100" s="33" t="s">
        <v>81</v>
      </c>
      <c r="U100" s="29" t="s">
        <v>1041</v>
      </c>
      <c r="V100" s="36" t="s">
        <v>1042</v>
      </c>
      <c r="W100" s="101"/>
      <c r="X100" s="91" t="s">
        <v>903</v>
      </c>
      <c r="Y100" s="92"/>
      <c r="Z100" s="93"/>
      <c r="AA100" s="149">
        <f>VLOOKUP(D100,[2]nohahut!$B:$D,3,0)</f>
        <v>43970</v>
      </c>
      <c r="AB100" s="146">
        <v>45300</v>
      </c>
      <c r="AC100" s="152" t="s">
        <v>672</v>
      </c>
    </row>
    <row r="101" spans="1:29" ht="20.100000000000001" customHeight="1">
      <c r="A101" s="26">
        <f ca="1">IF(P101&lt;"",ROW()-1,"")</f>
        <v>100</v>
      </c>
      <c r="B101" s="42">
        <f>IF(ISBLANK(D101),0,IF(F101&lt;&gt;F100,1,1+B100))</f>
        <v>26</v>
      </c>
      <c r="C101" s="27" t="s">
        <v>655</v>
      </c>
      <c r="D101" s="109">
        <v>14764302</v>
      </c>
      <c r="E101" s="28" t="s">
        <v>82</v>
      </c>
      <c r="F101" s="29" t="s">
        <v>261</v>
      </c>
      <c r="G101" s="49" t="s">
        <v>14</v>
      </c>
      <c r="H101" s="43" t="s">
        <v>939</v>
      </c>
      <c r="I101" s="49" t="s">
        <v>909</v>
      </c>
      <c r="J101" s="140"/>
      <c r="K101" s="39" t="s">
        <v>32</v>
      </c>
      <c r="L101" s="37" t="s">
        <v>611</v>
      </c>
      <c r="M101" s="29" t="s">
        <v>612</v>
      </c>
      <c r="N101" s="137"/>
      <c r="O101" s="126">
        <v>20821</v>
      </c>
      <c r="P101" s="35">
        <f ca="1">(TODAY()-O101)/365</f>
        <v>69.520547945205479</v>
      </c>
      <c r="Q101" s="137" t="s">
        <v>15</v>
      </c>
      <c r="R101" s="137" t="s">
        <v>613</v>
      </c>
      <c r="S101" s="137" t="s">
        <v>587</v>
      </c>
      <c r="T101" s="33" t="s">
        <v>614</v>
      </c>
      <c r="U101" s="44" t="s">
        <v>755</v>
      </c>
      <c r="V101" s="53" t="s">
        <v>759</v>
      </c>
      <c r="W101" s="101"/>
      <c r="X101" s="128"/>
      <c r="Y101" s="129" t="s">
        <v>903</v>
      </c>
      <c r="Z101" s="130"/>
      <c r="AA101" s="149">
        <f>VLOOKUP(D101,[2]nohahut!$B:$D,3,0)</f>
        <v>45383</v>
      </c>
      <c r="AB101" s="146">
        <v>46089</v>
      </c>
      <c r="AC101" s="152" t="s">
        <v>674</v>
      </c>
    </row>
    <row r="102" spans="1:29" ht="20.100000000000001" customHeight="1">
      <c r="A102" s="26" t="str">
        <f>IF(P102&lt;"",ROW()-1,"")</f>
        <v/>
      </c>
      <c r="B102" s="42">
        <f>IF(ISBLANK(D102),0,IF(F102&lt;&gt;F101,1,1+B101))</f>
        <v>0</v>
      </c>
      <c r="C102" s="27"/>
      <c r="D102" s="109"/>
      <c r="E102" s="28"/>
      <c r="F102" s="29"/>
      <c r="G102" s="49"/>
      <c r="H102" s="43"/>
      <c r="I102" s="49"/>
      <c r="J102" s="51"/>
      <c r="K102" s="39"/>
      <c r="L102" s="145"/>
      <c r="M102" s="44"/>
      <c r="N102" s="44"/>
      <c r="O102" s="34"/>
      <c r="P102" s="35"/>
      <c r="Q102" s="44"/>
      <c r="R102" s="44"/>
      <c r="S102" s="44"/>
      <c r="T102" s="52"/>
      <c r="U102" s="44"/>
      <c r="V102" s="53"/>
      <c r="W102" s="101"/>
      <c r="X102" s="91"/>
      <c r="Y102" s="92"/>
      <c r="Z102" s="93"/>
      <c r="AA102" s="149"/>
      <c r="AB102" s="146"/>
      <c r="AC102" s="152"/>
    </row>
    <row r="103" spans="1:29" ht="20.100000000000001" customHeight="1">
      <c r="A103" s="26" t="str">
        <f>IF(P103&lt;"",ROW()-1,"")</f>
        <v/>
      </c>
      <c r="B103" s="42">
        <f>IF(ISBLANK(D103),0,IF(F103&lt;&gt;F102,1,1+B102))</f>
        <v>0</v>
      </c>
      <c r="C103" s="27"/>
      <c r="D103" s="109"/>
      <c r="E103" s="28"/>
      <c r="F103" s="29"/>
      <c r="G103" s="39"/>
      <c r="H103" s="51"/>
      <c r="I103" s="39"/>
      <c r="J103" s="31"/>
      <c r="K103" s="30"/>
      <c r="L103" s="37"/>
      <c r="M103" s="29"/>
      <c r="N103" s="29"/>
      <c r="O103" s="34"/>
      <c r="P103" s="35"/>
      <c r="Q103" s="29"/>
      <c r="R103" s="29"/>
      <c r="S103" s="29"/>
      <c r="T103" s="52"/>
      <c r="U103" s="29"/>
      <c r="V103" s="36"/>
      <c r="W103" s="101"/>
      <c r="X103" s="91"/>
      <c r="Y103" s="92"/>
      <c r="Z103" s="93"/>
      <c r="AA103" s="149"/>
      <c r="AB103" s="146"/>
      <c r="AC103" s="152"/>
    </row>
    <row r="104" spans="1:29" ht="20.100000000000001" customHeight="1" thickBot="1">
      <c r="A104" s="72"/>
      <c r="B104" s="73"/>
      <c r="C104" s="74"/>
      <c r="D104" s="75"/>
      <c r="E104" s="74"/>
      <c r="F104" s="76"/>
      <c r="G104" s="77"/>
      <c r="H104" s="99"/>
      <c r="I104" s="77"/>
      <c r="J104" s="78"/>
      <c r="K104" s="79"/>
      <c r="L104" s="80"/>
      <c r="M104" s="81"/>
      <c r="N104" s="81"/>
      <c r="O104" s="82"/>
      <c r="P104" s="82"/>
      <c r="Q104" s="81"/>
      <c r="R104" s="81"/>
      <c r="S104" s="81"/>
      <c r="T104" s="83"/>
      <c r="U104" s="76"/>
      <c r="V104" s="84"/>
      <c r="W104" s="103"/>
      <c r="X104" s="96"/>
      <c r="Y104" s="97"/>
      <c r="Z104" s="98"/>
      <c r="AA104" s="150"/>
      <c r="AB104" s="148"/>
      <c r="AC104" s="153"/>
    </row>
    <row r="105" spans="1:29" ht="20.100000000000001" customHeight="1">
      <c r="A105" s="11"/>
      <c r="B105" s="11"/>
      <c r="C105" s="12"/>
      <c r="D105" s="13"/>
      <c r="E105" s="12"/>
      <c r="F105" s="10"/>
      <c r="G105" s="14"/>
      <c r="H105" s="100"/>
      <c r="I105" s="14"/>
      <c r="J105" s="15"/>
      <c r="K105" s="16"/>
      <c r="L105" s="17"/>
      <c r="M105" s="3"/>
      <c r="N105" s="3"/>
      <c r="O105" s="18"/>
      <c r="P105" s="19"/>
      <c r="Q105" s="3"/>
      <c r="R105" s="3"/>
      <c r="S105" s="3"/>
      <c r="T105" s="20"/>
      <c r="U105" s="10"/>
      <c r="V105" s="10"/>
      <c r="W105" s="10"/>
    </row>
  </sheetData>
  <sheetProtection selectLockedCells="1" selectUnlockedCells="1"/>
  <autoFilter ref="A1:AB103" xr:uid="{00000000-0001-0000-0000-000000000000}"/>
  <sortState xmlns:xlrd2="http://schemas.microsoft.com/office/spreadsheetml/2017/richdata2" ref="A2:AC103">
    <sortCondition ref="F2:F103"/>
    <sortCondition ref="E2:E103"/>
    <sortCondition ref="C2:C103"/>
  </sortState>
  <customSheetViews>
    <customSheetView guid="{F6A89155-2E4E-4328-A800-49D7F6B8C06F}" scale="80" zeroValues="0">
      <pane xSplit="4" ySplit="1" topLeftCell="E2" activePane="bottomRight" state="frozenSplit"/>
      <selection pane="bottomRight" activeCell="S94" sqref="A1:S94"/>
      <pageMargins left="0.7" right="0.7" top="0.75" bottom="0.75" header="0.3" footer="0.3"/>
      <pageSetup orientation="portrait" r:id="rId1"/>
    </customSheetView>
  </customSheetViews>
  <phoneticPr fontId="6" type="noConversion"/>
  <conditionalFormatting sqref="B1:B1048576">
    <cfRule type="cellIs" dxfId="8" priority="10" operator="equal">
      <formula>1</formula>
    </cfRule>
  </conditionalFormatting>
  <conditionalFormatting sqref="E1:E1048576">
    <cfRule type="expression" dxfId="7" priority="2">
      <formula>E1="משרד הבריאות"</formula>
    </cfRule>
  </conditionalFormatting>
  <conditionalFormatting sqref="W2:W104">
    <cfRule type="cellIs" dxfId="6" priority="1" operator="equal">
      <formula>"כן"</formula>
    </cfRule>
  </conditionalFormatting>
  <conditionalFormatting sqref="AB2:AB104">
    <cfRule type="cellIs" dxfId="5" priority="11" operator="lessThan">
      <formula>46023</formula>
    </cfRule>
  </conditionalFormatting>
  <dataValidations count="7">
    <dataValidation type="list" allowBlank="1" showInputMessage="1" showErrorMessage="1" sqref="F104:F105" xr:uid="{00000000-0002-0000-0000-000000000000}">
      <formula1>"איל,אנדרי,אהרון,שלום"</formula1>
    </dataValidation>
    <dataValidation type="whole" allowBlank="1" showInputMessage="1" showErrorMessage="1" errorTitle="שים לב!" error="מספר לא חוקי." sqref="M6" xr:uid="{00000000-0002-0000-0000-000001000000}">
      <formula1>9</formula1>
      <formula2>11</formula2>
    </dataValidation>
    <dataValidation type="textLength" operator="greaterThan" allowBlank="1" showInputMessage="1" showErrorMessage="1" sqref="M2:M3" xr:uid="{00000000-0002-0000-0000-000002000000}">
      <formula1>10</formula1>
    </dataValidation>
    <dataValidation type="list" allowBlank="1" showInputMessage="1" showErrorMessage="1" sqref="G93:G95 G2:G81" xr:uid="{00000000-0002-0000-0000-000007000000}">
      <formula1>"כללית,מכבי,לאומית,מאוחדת"</formula1>
    </dataValidation>
    <dataValidation type="list" allowBlank="1" showInputMessage="1" showErrorMessage="1" sqref="F2:F103" xr:uid="{884523E8-1F64-4AF5-AF77-8B28AC39DA19}">
      <formula1>"רוזט,אנדרי,אריסטרך,שלום"</formula1>
    </dataValidation>
    <dataValidation type="list" allowBlank="1" showInputMessage="1" showErrorMessage="1" sqref="W2:W104" xr:uid="{1014CFBA-D28C-4DCB-AEAF-1F069F077C97}">
      <formula1>"כן"</formula1>
    </dataValidation>
    <dataValidation operator="notEqual" allowBlank="1" showErrorMessage="1" promptTitle="תאריך לא נכון!" prompt="סים לב תאריך לא נכון!" sqref="AA2" xr:uid="{CC4C7C4E-4A62-4AAB-827F-69772C43B5D9}"/>
  </dataValidations>
  <pageMargins left="0.19685039370078741" right="0.19685039370078741" top="0.19685039370078741" bottom="0.19685039370078741" header="0.19685039370078741" footer="0.19685039370078741"/>
  <pageSetup scale="67" fitToWidth="2" fitToHeight="4" orientation="landscape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AC192"/>
  <sheetViews>
    <sheetView rightToLeft="1" zoomScale="90" zoomScaleNormal="90" workbookViewId="0">
      <pane xSplit="3" ySplit="1" topLeftCell="N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4.25"/>
  <cols>
    <col min="2" max="2" width="20" bestFit="1" customWidth="1"/>
    <col min="3" max="3" width="13.625" bestFit="1" customWidth="1"/>
    <col min="4" max="4" width="12.5" bestFit="1" customWidth="1"/>
    <col min="5" max="5" width="8.875" style="158" bestFit="1" customWidth="1"/>
    <col min="6" max="6" width="9.25" style="158" bestFit="1" customWidth="1"/>
    <col min="7" max="7" width="31.125" style="159" bestFit="1" customWidth="1"/>
    <col min="8" max="8" width="10.875" style="158" bestFit="1" customWidth="1"/>
    <col min="9" max="9" width="27.875" style="158" bestFit="1" customWidth="1"/>
    <col min="10" max="10" width="12" style="158" bestFit="1" customWidth="1"/>
    <col min="11" max="11" width="15.875" style="158" bestFit="1" customWidth="1"/>
    <col min="12" max="12" width="14.25" style="164" bestFit="1" customWidth="1"/>
    <col min="13" max="13" width="12.125" style="158" bestFit="1" customWidth="1"/>
    <col min="14" max="14" width="14.25" style="158" bestFit="1" customWidth="1"/>
    <col min="15" max="15" width="12.375" style="158" bestFit="1" customWidth="1"/>
    <col min="16" max="16" width="11.25" style="158" bestFit="1" customWidth="1"/>
    <col min="17" max="17" width="12.5" style="158" bestFit="1" customWidth="1"/>
    <col min="18" max="18" width="19.875" style="158" bestFit="1" customWidth="1"/>
    <col min="19" max="19" width="11.5" style="158" bestFit="1" customWidth="1"/>
    <col min="20" max="20" width="10.875" style="158" bestFit="1" customWidth="1"/>
    <col min="21" max="21" width="11.5" style="158" bestFit="1" customWidth="1"/>
    <col min="22" max="25" width="10.625" style="158" customWidth="1"/>
    <col min="27" max="27" width="17.25" customWidth="1"/>
    <col min="28" max="28" width="12.75" customWidth="1"/>
    <col min="29" max="29" width="12.375" style="219" customWidth="1"/>
  </cols>
  <sheetData>
    <row r="1" spans="1:29" ht="31.5">
      <c r="A1" s="165" t="s">
        <v>857</v>
      </c>
      <c r="B1" s="166" t="s">
        <v>0</v>
      </c>
      <c r="C1" s="167" t="s">
        <v>1</v>
      </c>
      <c r="D1" s="167" t="s">
        <v>2</v>
      </c>
      <c r="E1" s="168" t="s">
        <v>325</v>
      </c>
      <c r="F1" s="167" t="s">
        <v>3</v>
      </c>
      <c r="G1" s="167" t="s">
        <v>905</v>
      </c>
      <c r="H1" s="167" t="s">
        <v>906</v>
      </c>
      <c r="I1" s="167" t="s">
        <v>4</v>
      </c>
      <c r="J1" s="167" t="s">
        <v>5</v>
      </c>
      <c r="K1" s="166" t="s">
        <v>6</v>
      </c>
      <c r="L1" s="166" t="s">
        <v>7</v>
      </c>
      <c r="M1" s="166" t="s">
        <v>8</v>
      </c>
      <c r="N1" s="166" t="s">
        <v>137</v>
      </c>
      <c r="O1" s="169" t="s">
        <v>9</v>
      </c>
      <c r="P1" s="166" t="s">
        <v>10</v>
      </c>
      <c r="Q1" s="166" t="s">
        <v>11</v>
      </c>
      <c r="R1" s="166" t="s">
        <v>12</v>
      </c>
      <c r="S1" s="166" t="s">
        <v>13</v>
      </c>
      <c r="T1" s="170" t="s">
        <v>104</v>
      </c>
      <c r="U1" s="171" t="s">
        <v>563</v>
      </c>
      <c r="V1" s="172" t="s">
        <v>1012</v>
      </c>
      <c r="W1" s="173" t="s">
        <v>901</v>
      </c>
      <c r="X1" s="174" t="s">
        <v>902</v>
      </c>
      <c r="Y1" s="175" t="s">
        <v>16</v>
      </c>
      <c r="Z1" s="166" t="s">
        <v>1078</v>
      </c>
      <c r="AA1" s="166" t="s">
        <v>1079</v>
      </c>
      <c r="AB1" s="176" t="s">
        <v>673</v>
      </c>
      <c r="AC1" s="216" t="s">
        <v>1108</v>
      </c>
    </row>
    <row r="2" spans="1:29" ht="20.100000000000001" customHeight="1">
      <c r="A2" s="26">
        <v>1</v>
      </c>
      <c r="B2" s="27" t="s">
        <v>560</v>
      </c>
      <c r="C2" s="109">
        <v>324351733</v>
      </c>
      <c r="D2" s="28" t="s">
        <v>82</v>
      </c>
      <c r="E2" s="29" t="s">
        <v>574</v>
      </c>
      <c r="F2" s="30" t="s">
        <v>14</v>
      </c>
      <c r="G2" s="31"/>
      <c r="H2" s="30" t="s">
        <v>32</v>
      </c>
      <c r="I2" s="31" t="s">
        <v>561</v>
      </c>
      <c r="J2" s="30" t="s">
        <v>562</v>
      </c>
      <c r="K2" s="32"/>
      <c r="L2" s="29">
        <v>36689</v>
      </c>
      <c r="M2" s="29">
        <f ca="1">(TODAY()-L2)/365</f>
        <v>26.046575342465754</v>
      </c>
      <c r="N2" s="34" t="s">
        <v>23</v>
      </c>
      <c r="O2" s="35" t="s">
        <v>107</v>
      </c>
      <c r="P2" s="29" t="s">
        <v>24</v>
      </c>
      <c r="Q2" s="29" t="s">
        <v>530</v>
      </c>
      <c r="R2" s="29"/>
      <c r="S2" s="33"/>
      <c r="T2" s="29"/>
      <c r="U2" s="36"/>
      <c r="V2" s="177"/>
      <c r="W2" s="91"/>
      <c r="X2" s="92"/>
      <c r="Y2" s="93"/>
      <c r="Z2" s="149"/>
      <c r="AA2" s="146"/>
      <c r="AB2" s="157"/>
      <c r="AC2" s="220"/>
    </row>
    <row r="3" spans="1:29" ht="20.100000000000001" customHeight="1">
      <c r="A3" s="26">
        <v>2</v>
      </c>
      <c r="B3" s="27" t="s">
        <v>313</v>
      </c>
      <c r="C3" s="109">
        <v>33502477</v>
      </c>
      <c r="D3" s="27" t="s">
        <v>82</v>
      </c>
      <c r="E3" s="29" t="s">
        <v>574</v>
      </c>
      <c r="F3" s="49" t="s">
        <v>14</v>
      </c>
      <c r="G3" s="43"/>
      <c r="H3" s="49" t="s">
        <v>32</v>
      </c>
      <c r="I3" s="43" t="s">
        <v>211</v>
      </c>
      <c r="J3" s="39" t="s">
        <v>277</v>
      </c>
      <c r="K3" s="37" t="s">
        <v>297</v>
      </c>
      <c r="L3" s="29">
        <v>28129</v>
      </c>
      <c r="M3" s="29">
        <v>47.62191780821918</v>
      </c>
      <c r="N3" s="34" t="s">
        <v>216</v>
      </c>
      <c r="O3" s="35" t="s">
        <v>215</v>
      </c>
      <c r="P3" s="29" t="s">
        <v>219</v>
      </c>
      <c r="Q3" s="29" t="s">
        <v>267</v>
      </c>
      <c r="R3" s="29"/>
      <c r="S3" s="52"/>
      <c r="T3" s="33"/>
      <c r="U3" s="36"/>
      <c r="V3" s="177"/>
      <c r="W3" s="91"/>
      <c r="X3" s="92"/>
      <c r="Y3" s="93"/>
      <c r="Z3" s="149"/>
      <c r="AA3" s="146"/>
      <c r="AB3" s="157"/>
      <c r="AC3" s="220"/>
    </row>
    <row r="4" spans="1:29" ht="20.100000000000001" customHeight="1">
      <c r="A4" s="26">
        <v>3</v>
      </c>
      <c r="B4" s="27" t="s">
        <v>507</v>
      </c>
      <c r="C4" s="109">
        <v>213631682</v>
      </c>
      <c r="D4" s="28" t="s">
        <v>82</v>
      </c>
      <c r="E4" s="29" t="s">
        <v>261</v>
      </c>
      <c r="F4" s="30" t="s">
        <v>14</v>
      </c>
      <c r="G4" s="31" t="s">
        <v>489</v>
      </c>
      <c r="H4" s="30" t="s">
        <v>32</v>
      </c>
      <c r="I4" s="31" t="s">
        <v>493</v>
      </c>
      <c r="J4" s="30" t="s">
        <v>490</v>
      </c>
      <c r="K4" s="37"/>
      <c r="L4" s="29">
        <v>37829</v>
      </c>
      <c r="M4" s="29">
        <v>19.876712328767123</v>
      </c>
      <c r="N4" s="34" t="s">
        <v>494</v>
      </c>
      <c r="O4" s="35" t="s">
        <v>491</v>
      </c>
      <c r="P4" s="29" t="s">
        <v>104</v>
      </c>
      <c r="Q4" s="29" t="s">
        <v>492</v>
      </c>
      <c r="R4" s="29"/>
      <c r="S4" s="33"/>
      <c r="T4" s="29"/>
      <c r="U4" s="36"/>
      <c r="V4" s="177"/>
      <c r="W4" s="91"/>
      <c r="X4" s="92"/>
      <c r="Y4" s="93"/>
      <c r="Z4" s="149"/>
      <c r="AA4" s="146"/>
      <c r="AB4" s="157"/>
      <c r="AC4" s="220"/>
    </row>
    <row r="5" spans="1:29" ht="20.100000000000001" customHeight="1">
      <c r="A5" s="26">
        <v>4</v>
      </c>
      <c r="B5" s="27" t="s">
        <v>394</v>
      </c>
      <c r="C5" s="109">
        <v>68413319</v>
      </c>
      <c r="D5" s="27" t="s">
        <v>82</v>
      </c>
      <c r="E5" s="29" t="s">
        <v>260</v>
      </c>
      <c r="F5" s="30" t="s">
        <v>14</v>
      </c>
      <c r="G5" s="31" t="s">
        <v>421</v>
      </c>
      <c r="H5" s="30" t="s">
        <v>32</v>
      </c>
      <c r="I5" s="178" t="s">
        <v>337</v>
      </c>
      <c r="J5" s="39" t="s">
        <v>324</v>
      </c>
      <c r="K5" s="37"/>
      <c r="L5" s="29">
        <v>22970</v>
      </c>
      <c r="M5" s="29">
        <v>62.457534246575342</v>
      </c>
      <c r="N5" s="34" t="s">
        <v>15</v>
      </c>
      <c r="O5" s="35" t="s">
        <v>338</v>
      </c>
      <c r="P5" s="29" t="s">
        <v>15</v>
      </c>
      <c r="Q5" s="29" t="s">
        <v>339</v>
      </c>
      <c r="R5" s="29"/>
      <c r="S5" s="33"/>
      <c r="T5" s="29"/>
      <c r="U5" s="55"/>
      <c r="V5" s="179"/>
      <c r="W5" s="91"/>
      <c r="X5" s="92"/>
      <c r="Y5" s="93"/>
      <c r="Z5" s="149"/>
      <c r="AA5" s="146"/>
      <c r="AB5" s="157"/>
      <c r="AC5" s="220"/>
    </row>
    <row r="6" spans="1:29" ht="20.100000000000001" customHeight="1">
      <c r="A6" s="26">
        <v>5</v>
      </c>
      <c r="B6" s="27" t="s">
        <v>524</v>
      </c>
      <c r="C6" s="109">
        <v>307781591</v>
      </c>
      <c r="D6" s="27" t="s">
        <v>82</v>
      </c>
      <c r="E6" s="29" t="s">
        <v>262</v>
      </c>
      <c r="F6" s="30" t="s">
        <v>22</v>
      </c>
      <c r="G6" s="31" t="s">
        <v>528</v>
      </c>
      <c r="H6" s="30" t="s">
        <v>32</v>
      </c>
      <c r="I6" s="43" t="s">
        <v>535</v>
      </c>
      <c r="J6" s="39" t="s">
        <v>534</v>
      </c>
      <c r="K6" s="37"/>
      <c r="L6" s="29">
        <v>21741</v>
      </c>
      <c r="M6" s="29">
        <v>64.027397260273972</v>
      </c>
      <c r="N6" s="34" t="s">
        <v>20</v>
      </c>
      <c r="O6" s="35" t="s">
        <v>525</v>
      </c>
      <c r="P6" s="29" t="s">
        <v>526</v>
      </c>
      <c r="Q6" s="29" t="s">
        <v>527</v>
      </c>
      <c r="R6" s="29"/>
      <c r="S6" s="33"/>
      <c r="T6" s="180"/>
      <c r="U6" s="36"/>
      <c r="V6" s="177"/>
      <c r="W6" s="91"/>
      <c r="X6" s="92"/>
      <c r="Y6" s="93"/>
      <c r="Z6" s="149"/>
      <c r="AA6" s="146"/>
      <c r="AB6" s="157"/>
      <c r="AC6" s="220"/>
    </row>
    <row r="7" spans="1:29" ht="20.100000000000001" customHeight="1">
      <c r="A7" s="26">
        <v>6</v>
      </c>
      <c r="B7" s="27" t="s">
        <v>451</v>
      </c>
      <c r="C7" s="109">
        <v>300569266</v>
      </c>
      <c r="D7" s="27" t="s">
        <v>82</v>
      </c>
      <c r="E7" s="29" t="s">
        <v>574</v>
      </c>
      <c r="F7" s="30" t="s">
        <v>14</v>
      </c>
      <c r="G7" s="31"/>
      <c r="H7" s="30" t="s">
        <v>572</v>
      </c>
      <c r="I7" s="178" t="s">
        <v>453</v>
      </c>
      <c r="J7" s="30" t="s">
        <v>452</v>
      </c>
      <c r="K7" s="37"/>
      <c r="L7" s="29">
        <v>31756</v>
      </c>
      <c r="M7" s="29">
        <f ca="1">(TODAY()-L7)/365</f>
        <v>39.561643835616437</v>
      </c>
      <c r="N7" s="34" t="s">
        <v>23</v>
      </c>
      <c r="O7" s="35" t="s">
        <v>454</v>
      </c>
      <c r="P7" s="29" t="s">
        <v>24</v>
      </c>
      <c r="Q7" s="29" t="s">
        <v>455</v>
      </c>
      <c r="R7" s="29"/>
      <c r="S7" s="33"/>
      <c r="T7" s="29"/>
      <c r="U7" s="36"/>
      <c r="V7" s="177"/>
      <c r="W7" s="91"/>
      <c r="X7" s="92"/>
      <c r="Y7" s="93"/>
      <c r="Z7" s="149"/>
      <c r="AA7" s="146"/>
      <c r="AB7" s="157"/>
      <c r="AC7" s="220"/>
    </row>
    <row r="8" spans="1:29" ht="20.100000000000001" customHeight="1">
      <c r="A8" s="26">
        <v>7</v>
      </c>
      <c r="B8" s="27" t="s">
        <v>576</v>
      </c>
      <c r="C8" s="109">
        <v>37197563</v>
      </c>
      <c r="D8" s="28" t="s">
        <v>82</v>
      </c>
      <c r="E8" s="29" t="s">
        <v>262</v>
      </c>
      <c r="F8" s="30" t="s">
        <v>14</v>
      </c>
      <c r="G8" s="31"/>
      <c r="H8" s="30" t="s">
        <v>32</v>
      </c>
      <c r="I8" s="31" t="s">
        <v>334</v>
      </c>
      <c r="J8" s="30" t="s">
        <v>653</v>
      </c>
      <c r="K8" s="37"/>
      <c r="L8" s="29">
        <v>29097</v>
      </c>
      <c r="M8" s="29">
        <f ca="1">(TODAY()-L8)/365</f>
        <v>46.846575342465755</v>
      </c>
      <c r="N8" s="34" t="s">
        <v>144</v>
      </c>
      <c r="O8" s="35" t="s">
        <v>107</v>
      </c>
      <c r="P8" s="29" t="s">
        <v>104</v>
      </c>
      <c r="Q8" s="29" t="s">
        <v>208</v>
      </c>
      <c r="R8" s="29"/>
      <c r="S8" s="33"/>
      <c r="T8" s="29"/>
      <c r="U8" s="36"/>
      <c r="V8" s="177"/>
      <c r="W8" s="91"/>
      <c r="X8" s="92"/>
      <c r="Y8" s="93"/>
      <c r="Z8" s="149"/>
      <c r="AA8" s="146"/>
      <c r="AB8" s="157"/>
      <c r="AC8" s="220"/>
    </row>
    <row r="9" spans="1:29" ht="20.100000000000001" customHeight="1">
      <c r="A9" s="26">
        <v>8</v>
      </c>
      <c r="B9" s="27" t="s">
        <v>538</v>
      </c>
      <c r="C9" s="109">
        <v>16738924</v>
      </c>
      <c r="D9" s="28" t="s">
        <v>82</v>
      </c>
      <c r="E9" s="29" t="s">
        <v>260</v>
      </c>
      <c r="F9" s="30" t="s">
        <v>14</v>
      </c>
      <c r="G9" s="31"/>
      <c r="H9" s="30" t="s">
        <v>32</v>
      </c>
      <c r="I9" s="31" t="s">
        <v>496</v>
      </c>
      <c r="J9" s="30" t="s">
        <v>495</v>
      </c>
      <c r="K9" s="37"/>
      <c r="L9" s="29">
        <v>22807</v>
      </c>
      <c r="M9" s="29">
        <f ca="1">(TODAY()-L9)/365</f>
        <v>64.079452054794515</v>
      </c>
      <c r="N9" s="34"/>
      <c r="O9" s="35" t="s">
        <v>329</v>
      </c>
      <c r="P9" s="29" t="s">
        <v>104</v>
      </c>
      <c r="Q9" s="29" t="s">
        <v>498</v>
      </c>
      <c r="R9" s="29"/>
      <c r="S9" s="33"/>
      <c r="T9" s="29"/>
      <c r="U9" s="36"/>
      <c r="V9" s="177"/>
      <c r="W9" s="91"/>
      <c r="X9" s="92"/>
      <c r="Y9" s="93"/>
      <c r="Z9" s="149"/>
      <c r="AA9" s="146"/>
      <c r="AB9" s="157"/>
      <c r="AC9" s="220"/>
    </row>
    <row r="10" spans="1:29" ht="20.100000000000001" customHeight="1">
      <c r="A10" s="26">
        <v>9</v>
      </c>
      <c r="B10" s="27" t="s">
        <v>252</v>
      </c>
      <c r="C10" s="109">
        <v>17713009</v>
      </c>
      <c r="D10" s="28" t="s">
        <v>82</v>
      </c>
      <c r="E10" s="29" t="s">
        <v>261</v>
      </c>
      <c r="F10" s="39" t="s">
        <v>14</v>
      </c>
      <c r="G10" s="51" t="s">
        <v>37</v>
      </c>
      <c r="H10" s="39" t="s">
        <v>32</v>
      </c>
      <c r="I10" s="31" t="s">
        <v>38</v>
      </c>
      <c r="J10" s="30" t="s">
        <v>39</v>
      </c>
      <c r="K10" s="37" t="s">
        <v>16</v>
      </c>
      <c r="L10" s="29">
        <v>18264</v>
      </c>
      <c r="M10" s="29">
        <v>75.350684931506848</v>
      </c>
      <c r="N10" s="34" t="s">
        <v>20</v>
      </c>
      <c r="O10" s="35" t="s">
        <v>40</v>
      </c>
      <c r="P10" s="29" t="s">
        <v>28</v>
      </c>
      <c r="Q10" s="29" t="s">
        <v>41</v>
      </c>
      <c r="R10" s="29"/>
      <c r="S10" s="33"/>
      <c r="T10" s="29"/>
      <c r="U10" s="36"/>
      <c r="V10" s="177"/>
      <c r="W10" s="91"/>
      <c r="X10" s="92"/>
      <c r="Y10" s="93"/>
      <c r="Z10" s="149"/>
      <c r="AA10" s="146"/>
      <c r="AB10" s="157"/>
      <c r="AC10" s="220"/>
    </row>
    <row r="11" spans="1:29" ht="20.100000000000001" customHeight="1">
      <c r="A11" s="26">
        <v>10</v>
      </c>
      <c r="B11" s="27" t="s">
        <v>540</v>
      </c>
      <c r="C11" s="109">
        <v>307629790</v>
      </c>
      <c r="D11" s="28" t="s">
        <v>82</v>
      </c>
      <c r="E11" s="29" t="s">
        <v>262</v>
      </c>
      <c r="F11" s="39" t="s">
        <v>14</v>
      </c>
      <c r="G11" s="51"/>
      <c r="H11" s="39" t="s">
        <v>32</v>
      </c>
      <c r="I11" s="31" t="s">
        <v>334</v>
      </c>
      <c r="J11" s="30" t="s">
        <v>652</v>
      </c>
      <c r="K11" s="32"/>
      <c r="L11" s="29">
        <v>31905</v>
      </c>
      <c r="M11" s="29">
        <f ca="1">(TODAY()-L11)/365</f>
        <v>39.153424657534245</v>
      </c>
      <c r="N11" s="34" t="s">
        <v>144</v>
      </c>
      <c r="O11" s="35" t="s">
        <v>107</v>
      </c>
      <c r="P11" s="29" t="s">
        <v>345</v>
      </c>
      <c r="Q11" s="29" t="s">
        <v>542</v>
      </c>
      <c r="R11" s="29"/>
      <c r="S11" s="33"/>
      <c r="T11" s="29"/>
      <c r="U11" s="36"/>
      <c r="V11" s="177"/>
      <c r="W11" s="91"/>
      <c r="X11" s="92"/>
      <c r="Y11" s="93"/>
      <c r="Z11" s="149"/>
      <c r="AA11" s="146"/>
      <c r="AB11" s="157"/>
      <c r="AC11" s="220"/>
    </row>
    <row r="12" spans="1:29" ht="20.100000000000001" customHeight="1">
      <c r="A12" s="26">
        <v>11</v>
      </c>
      <c r="B12" s="27" t="s">
        <v>192</v>
      </c>
      <c r="C12" s="109">
        <v>37509494</v>
      </c>
      <c r="D12" s="28" t="s">
        <v>82</v>
      </c>
      <c r="E12" s="29" t="s">
        <v>260</v>
      </c>
      <c r="F12" s="30" t="s">
        <v>22</v>
      </c>
      <c r="G12" s="31"/>
      <c r="H12" s="30" t="s">
        <v>572</v>
      </c>
      <c r="I12" s="31" t="s">
        <v>176</v>
      </c>
      <c r="J12" s="30" t="s">
        <v>177</v>
      </c>
      <c r="K12" s="37"/>
      <c r="L12" s="29">
        <v>27626</v>
      </c>
      <c r="M12" s="29">
        <f ca="1">(TODAY()-L12)/365</f>
        <v>50.876712328767127</v>
      </c>
      <c r="N12" s="34" t="s">
        <v>354</v>
      </c>
      <c r="O12" s="35" t="s">
        <v>355</v>
      </c>
      <c r="P12" s="29" t="s">
        <v>356</v>
      </c>
      <c r="Q12" s="29" t="s">
        <v>276</v>
      </c>
      <c r="R12" s="29"/>
      <c r="S12" s="33"/>
      <c r="T12" s="29"/>
      <c r="U12" s="36"/>
      <c r="V12" s="177"/>
      <c r="W12" s="91"/>
      <c r="X12" s="92"/>
      <c r="Y12" s="93"/>
      <c r="Z12" s="149"/>
      <c r="AA12" s="146"/>
      <c r="AB12" s="157"/>
      <c r="AC12" s="220"/>
    </row>
    <row r="13" spans="1:29" ht="20.100000000000001" customHeight="1">
      <c r="A13" s="26">
        <v>12</v>
      </c>
      <c r="B13" s="27" t="s">
        <v>468</v>
      </c>
      <c r="C13" s="109">
        <v>14798482</v>
      </c>
      <c r="D13" s="27" t="s">
        <v>82</v>
      </c>
      <c r="E13" s="29" t="s">
        <v>574</v>
      </c>
      <c r="F13" s="49" t="s">
        <v>14</v>
      </c>
      <c r="G13" s="43"/>
      <c r="H13" s="49" t="s">
        <v>32</v>
      </c>
      <c r="I13" s="181" t="s">
        <v>469</v>
      </c>
      <c r="J13" s="39" t="s">
        <v>470</v>
      </c>
      <c r="K13" s="182"/>
      <c r="L13" s="29">
        <v>25433</v>
      </c>
      <c r="M13" s="29">
        <f ca="1">(TODAY()-L13)/365</f>
        <v>56.884931506849313</v>
      </c>
      <c r="N13" s="34" t="s">
        <v>23</v>
      </c>
      <c r="O13" s="35" t="s">
        <v>471</v>
      </c>
      <c r="P13" s="29" t="s">
        <v>21</v>
      </c>
      <c r="Q13" s="29" t="s">
        <v>472</v>
      </c>
      <c r="R13" s="29"/>
      <c r="S13" s="33"/>
      <c r="T13" s="29"/>
      <c r="U13" s="36"/>
      <c r="V13" s="177"/>
      <c r="W13" s="91"/>
      <c r="X13" s="92"/>
      <c r="Y13" s="93"/>
      <c r="Z13" s="149"/>
      <c r="AA13" s="146"/>
      <c r="AB13" s="157"/>
      <c r="AC13" s="220"/>
    </row>
    <row r="14" spans="1:29" ht="20.100000000000001" customHeight="1">
      <c r="A14" s="26">
        <v>13</v>
      </c>
      <c r="B14" s="27" t="s">
        <v>588</v>
      </c>
      <c r="C14" s="109">
        <v>305428880</v>
      </c>
      <c r="D14" s="28" t="s">
        <v>82</v>
      </c>
      <c r="E14" s="29" t="s">
        <v>574</v>
      </c>
      <c r="F14" s="30" t="s">
        <v>14</v>
      </c>
      <c r="G14" s="31" t="s">
        <v>593</v>
      </c>
      <c r="H14" s="30" t="s">
        <v>32</v>
      </c>
      <c r="I14" s="31" t="s">
        <v>589</v>
      </c>
      <c r="J14" s="30" t="s">
        <v>592</v>
      </c>
      <c r="K14" s="37"/>
      <c r="L14" s="29">
        <v>33125</v>
      </c>
      <c r="M14" s="29">
        <f ca="1">(TODAY()-L14)/365</f>
        <v>35.81095890410959</v>
      </c>
      <c r="N14" s="34" t="s">
        <v>24</v>
      </c>
      <c r="O14" s="35" t="s">
        <v>590</v>
      </c>
      <c r="P14" s="29" t="s">
        <v>24</v>
      </c>
      <c r="Q14" s="29" t="s">
        <v>591</v>
      </c>
      <c r="R14" s="29"/>
      <c r="S14" s="48"/>
      <c r="T14" s="29"/>
      <c r="U14" s="36"/>
      <c r="V14" s="177"/>
      <c r="W14" s="91"/>
      <c r="X14" s="92"/>
      <c r="Y14" s="93"/>
      <c r="Z14" s="149"/>
      <c r="AA14" s="146"/>
      <c r="AB14" s="157"/>
      <c r="AC14" s="220"/>
    </row>
    <row r="15" spans="1:29" s="1" customFormat="1" ht="20.100000000000001" customHeight="1">
      <c r="A15" s="26">
        <v>14</v>
      </c>
      <c r="B15" s="27" t="s">
        <v>536</v>
      </c>
      <c r="C15" s="109">
        <v>201408374</v>
      </c>
      <c r="D15" s="28" t="s">
        <v>82</v>
      </c>
      <c r="E15" s="29" t="s">
        <v>262</v>
      </c>
      <c r="F15" s="30" t="s">
        <v>14</v>
      </c>
      <c r="G15" s="31" t="s">
        <v>450</v>
      </c>
      <c r="H15" s="30" t="s">
        <v>32</v>
      </c>
      <c r="I15" s="31" t="s">
        <v>446</v>
      </c>
      <c r="J15" s="30" t="s">
        <v>447</v>
      </c>
      <c r="K15" s="37"/>
      <c r="L15" s="29">
        <v>32905</v>
      </c>
      <c r="M15" s="29">
        <v>34.904109589041099</v>
      </c>
      <c r="N15" s="34" t="s">
        <v>23</v>
      </c>
      <c r="O15" s="35" t="s">
        <v>449</v>
      </c>
      <c r="P15" s="29" t="s">
        <v>46</v>
      </c>
      <c r="Q15" s="29" t="s">
        <v>448</v>
      </c>
      <c r="R15" s="29"/>
      <c r="S15" s="33"/>
      <c r="T15" s="29"/>
      <c r="U15" s="36"/>
      <c r="V15" s="177"/>
      <c r="W15" s="91"/>
      <c r="X15" s="92"/>
      <c r="Y15" s="93"/>
      <c r="Z15" s="149"/>
      <c r="AA15" s="146"/>
      <c r="AB15" s="157"/>
      <c r="AC15" s="220"/>
    </row>
    <row r="16" spans="1:29" s="1" customFormat="1" ht="20.100000000000001" customHeight="1">
      <c r="A16" s="26">
        <v>15</v>
      </c>
      <c r="B16" s="27" t="s">
        <v>537</v>
      </c>
      <c r="C16" s="109">
        <v>27412873</v>
      </c>
      <c r="D16" s="28" t="s">
        <v>82</v>
      </c>
      <c r="E16" s="29" t="s">
        <v>262</v>
      </c>
      <c r="F16" s="30" t="s">
        <v>14</v>
      </c>
      <c r="G16" s="31" t="s">
        <v>439</v>
      </c>
      <c r="H16" s="30" t="s">
        <v>440</v>
      </c>
      <c r="I16" s="31" t="s">
        <v>441</v>
      </c>
      <c r="J16" s="30" t="s">
        <v>575</v>
      </c>
      <c r="K16" s="37"/>
      <c r="L16" s="29">
        <v>27248</v>
      </c>
      <c r="M16" s="29">
        <v>49.939726027397263</v>
      </c>
      <c r="N16" s="34" t="s">
        <v>126</v>
      </c>
      <c r="O16" s="35" t="s">
        <v>18</v>
      </c>
      <c r="P16" s="29" t="s">
        <v>442</v>
      </c>
      <c r="Q16" s="29" t="s">
        <v>443</v>
      </c>
      <c r="R16" s="29"/>
      <c r="S16" s="33"/>
      <c r="T16" s="29"/>
      <c r="U16" s="36"/>
      <c r="V16" s="177"/>
      <c r="W16" s="91"/>
      <c r="X16" s="92"/>
      <c r="Y16" s="93"/>
      <c r="Z16" s="149"/>
      <c r="AA16" s="146"/>
      <c r="AB16" s="157"/>
      <c r="AC16" s="220"/>
    </row>
    <row r="17" spans="1:29" s="1" customFormat="1" ht="20.100000000000001" customHeight="1">
      <c r="A17" s="26">
        <v>16</v>
      </c>
      <c r="B17" s="27" t="s">
        <v>254</v>
      </c>
      <c r="C17" s="109">
        <v>37974912</v>
      </c>
      <c r="D17" s="28" t="s">
        <v>82</v>
      </c>
      <c r="E17" s="29" t="s">
        <v>261</v>
      </c>
      <c r="F17" s="30" t="s">
        <v>14</v>
      </c>
      <c r="G17" s="31" t="s">
        <v>16</v>
      </c>
      <c r="H17" s="30" t="s">
        <v>32</v>
      </c>
      <c r="I17" s="31" t="s">
        <v>48</v>
      </c>
      <c r="J17" s="30" t="s">
        <v>49</v>
      </c>
      <c r="K17" s="32" t="s">
        <v>50</v>
      </c>
      <c r="L17" s="29">
        <v>31358</v>
      </c>
      <c r="M17" s="29">
        <f ca="1">(TODAY()-L17)/365</f>
        <v>40.652054794520545</v>
      </c>
      <c r="N17" s="34" t="s">
        <v>24</v>
      </c>
      <c r="O17" s="35" t="s">
        <v>51</v>
      </c>
      <c r="P17" s="29" t="s">
        <v>24</v>
      </c>
      <c r="Q17" s="29" t="s">
        <v>265</v>
      </c>
      <c r="R17" s="29"/>
      <c r="S17" s="33"/>
      <c r="T17" s="29"/>
      <c r="U17" s="36"/>
      <c r="V17" s="177"/>
      <c r="W17" s="91"/>
      <c r="X17" s="92"/>
      <c r="Y17" s="93"/>
      <c r="Z17" s="149"/>
      <c r="AA17" s="146"/>
      <c r="AB17" s="157"/>
      <c r="AC17" s="220"/>
    </row>
    <row r="18" spans="1:29" s="1" customFormat="1" ht="20.100000000000001" customHeight="1">
      <c r="A18" s="26">
        <v>17</v>
      </c>
      <c r="B18" s="27" t="s">
        <v>194</v>
      </c>
      <c r="C18" s="109">
        <v>208908541</v>
      </c>
      <c r="D18" s="28" t="s">
        <v>82</v>
      </c>
      <c r="E18" s="29" t="s">
        <v>262</v>
      </c>
      <c r="F18" s="30" t="s">
        <v>363</v>
      </c>
      <c r="G18" s="31" t="s">
        <v>196</v>
      </c>
      <c r="H18" s="30" t="s">
        <v>32</v>
      </c>
      <c r="I18" s="31" t="s">
        <v>199</v>
      </c>
      <c r="J18" s="30" t="s">
        <v>227</v>
      </c>
      <c r="K18" s="37"/>
      <c r="L18" s="29">
        <v>33593</v>
      </c>
      <c r="M18" s="29">
        <v>32.471232876712328</v>
      </c>
      <c r="N18" s="34" t="s">
        <v>130</v>
      </c>
      <c r="O18" s="35" t="s">
        <v>206</v>
      </c>
      <c r="P18" s="29" t="s">
        <v>24</v>
      </c>
      <c r="Q18" s="29" t="s">
        <v>207</v>
      </c>
      <c r="R18" s="29"/>
      <c r="S18" s="33"/>
      <c r="T18" s="29"/>
      <c r="U18" s="36"/>
      <c r="V18" s="177"/>
      <c r="W18" s="91"/>
      <c r="X18" s="92"/>
      <c r="Y18" s="93"/>
      <c r="Z18" s="149"/>
      <c r="AA18" s="146"/>
      <c r="AB18" s="157"/>
      <c r="AC18" s="220"/>
    </row>
    <row r="19" spans="1:29" s="1" customFormat="1" ht="20.100000000000001" customHeight="1">
      <c r="A19" s="26">
        <v>18</v>
      </c>
      <c r="B19" s="27" t="s">
        <v>83</v>
      </c>
      <c r="C19" s="109">
        <v>311821128</v>
      </c>
      <c r="D19" s="28" t="s">
        <v>82</v>
      </c>
      <c r="E19" s="29" t="s">
        <v>574</v>
      </c>
      <c r="F19" s="49" t="s">
        <v>14</v>
      </c>
      <c r="G19" s="43" t="s">
        <v>94</v>
      </c>
      <c r="H19" s="49" t="s">
        <v>89</v>
      </c>
      <c r="I19" s="43" t="s">
        <v>96</v>
      </c>
      <c r="J19" s="30" t="s">
        <v>97</v>
      </c>
      <c r="K19" s="50" t="s">
        <v>98</v>
      </c>
      <c r="L19" s="29">
        <v>26001</v>
      </c>
      <c r="M19" s="29">
        <f ca="1">(TODAY()-L19)/365</f>
        <v>55.328767123287669</v>
      </c>
      <c r="N19" s="34" t="s">
        <v>24</v>
      </c>
      <c r="O19" s="35" t="s">
        <v>24</v>
      </c>
      <c r="P19" s="29" t="s">
        <v>420</v>
      </c>
      <c r="Q19" s="29" t="s">
        <v>98</v>
      </c>
      <c r="R19" s="29"/>
      <c r="S19" s="33"/>
      <c r="T19" s="29"/>
      <c r="U19" s="36"/>
      <c r="V19" s="177"/>
      <c r="W19" s="91"/>
      <c r="X19" s="92"/>
      <c r="Y19" s="93"/>
      <c r="Z19" s="149"/>
      <c r="AA19" s="146"/>
      <c r="AB19" s="157"/>
      <c r="AC19" s="220"/>
    </row>
    <row r="20" spans="1:29" s="1" customFormat="1" ht="20.100000000000001" customHeight="1">
      <c r="A20" s="26">
        <v>19</v>
      </c>
      <c r="B20" s="27" t="s">
        <v>516</v>
      </c>
      <c r="C20" s="109">
        <v>321969669</v>
      </c>
      <c r="D20" s="28" t="s">
        <v>82</v>
      </c>
      <c r="E20" s="29" t="s">
        <v>574</v>
      </c>
      <c r="F20" s="30" t="s">
        <v>22</v>
      </c>
      <c r="G20" s="31"/>
      <c r="H20" s="30" t="s">
        <v>32</v>
      </c>
      <c r="I20" s="31" t="s">
        <v>517</v>
      </c>
      <c r="J20" s="30" t="s">
        <v>518</v>
      </c>
      <c r="K20" s="37" t="s">
        <v>519</v>
      </c>
      <c r="L20" s="29">
        <v>24805</v>
      </c>
      <c r="M20" s="29">
        <v>57.095890410958901</v>
      </c>
      <c r="N20" s="34" t="s">
        <v>20</v>
      </c>
      <c r="O20" s="35" t="s">
        <v>521</v>
      </c>
      <c r="P20" s="29" t="s">
        <v>520</v>
      </c>
      <c r="Q20" s="29" t="s">
        <v>522</v>
      </c>
      <c r="R20" s="29"/>
      <c r="S20" s="33"/>
      <c r="T20" s="29"/>
      <c r="U20" s="36"/>
      <c r="V20" s="177"/>
      <c r="W20" s="91"/>
      <c r="X20" s="92"/>
      <c r="Y20" s="93"/>
      <c r="Z20" s="149"/>
      <c r="AA20" s="146"/>
      <c r="AB20" s="157"/>
      <c r="AC20" s="220"/>
    </row>
    <row r="21" spans="1:29" s="1" customFormat="1" ht="20.100000000000001" customHeight="1">
      <c r="A21" s="26">
        <v>20</v>
      </c>
      <c r="B21" s="27" t="s">
        <v>675</v>
      </c>
      <c r="C21" s="109">
        <v>206540601</v>
      </c>
      <c r="D21" s="27" t="s">
        <v>82</v>
      </c>
      <c r="E21" s="29" t="s">
        <v>574</v>
      </c>
      <c r="F21" s="39" t="s">
        <v>22</v>
      </c>
      <c r="G21" s="51"/>
      <c r="H21" s="39" t="s">
        <v>32</v>
      </c>
      <c r="I21" s="51" t="s">
        <v>680</v>
      </c>
      <c r="J21" s="39" t="s">
        <v>679</v>
      </c>
      <c r="K21" s="50"/>
      <c r="L21" s="44">
        <v>36046</v>
      </c>
      <c r="M21" s="44">
        <f t="shared" ref="M21:M26" ca="1" si="0">(TODAY()-L21)/365</f>
        <v>27.80821917808219</v>
      </c>
      <c r="N21" s="34"/>
      <c r="O21" s="35" t="s">
        <v>678</v>
      </c>
      <c r="P21" s="44" t="s">
        <v>677</v>
      </c>
      <c r="Q21" s="44" t="s">
        <v>676</v>
      </c>
      <c r="R21" s="44"/>
      <c r="S21" s="52"/>
      <c r="T21" s="44" t="s">
        <v>88</v>
      </c>
      <c r="U21" s="53"/>
      <c r="V21" s="177"/>
      <c r="W21" s="91"/>
      <c r="X21" s="92"/>
      <c r="Y21" s="93"/>
      <c r="Z21" s="149"/>
      <c r="AA21" s="146"/>
      <c r="AB21" s="157"/>
      <c r="AC21" s="220"/>
    </row>
    <row r="22" spans="1:29" s="4" customFormat="1" ht="20.100000000000001" customHeight="1">
      <c r="A22" s="26">
        <v>21</v>
      </c>
      <c r="B22" s="27" t="s">
        <v>132</v>
      </c>
      <c r="C22" s="109">
        <v>324577287</v>
      </c>
      <c r="D22" s="28" t="s">
        <v>82</v>
      </c>
      <c r="E22" s="29" t="s">
        <v>262</v>
      </c>
      <c r="F22" s="30" t="s">
        <v>14</v>
      </c>
      <c r="G22" s="31"/>
      <c r="H22" s="30" t="s">
        <v>32</v>
      </c>
      <c r="I22" s="31" t="s">
        <v>462</v>
      </c>
      <c r="J22" s="30" t="s">
        <v>146</v>
      </c>
      <c r="K22" s="37"/>
      <c r="L22" s="29">
        <v>31448</v>
      </c>
      <c r="M22" s="29">
        <f t="shared" ca="1" si="0"/>
        <v>40.405479452054792</v>
      </c>
      <c r="N22" s="34" t="s">
        <v>144</v>
      </c>
      <c r="O22" s="35" t="s">
        <v>335</v>
      </c>
      <c r="P22" s="29"/>
      <c r="Q22" s="29" t="s">
        <v>263</v>
      </c>
      <c r="R22" s="29"/>
      <c r="S22" s="33"/>
      <c r="T22" s="29"/>
      <c r="U22" s="36"/>
      <c r="V22" s="177"/>
      <c r="W22" s="91"/>
      <c r="X22" s="92"/>
      <c r="Y22" s="93"/>
      <c r="Z22" s="149"/>
      <c r="AA22" s="146"/>
      <c r="AB22" s="157"/>
      <c r="AC22" s="220"/>
    </row>
    <row r="23" spans="1:29" ht="20.100000000000001" customHeight="1">
      <c r="A23" s="26">
        <v>22</v>
      </c>
      <c r="B23" s="27" t="s">
        <v>428</v>
      </c>
      <c r="C23" s="109">
        <v>329058010</v>
      </c>
      <c r="D23" s="28" t="s">
        <v>82</v>
      </c>
      <c r="E23" s="29" t="s">
        <v>261</v>
      </c>
      <c r="F23" s="30" t="s">
        <v>14</v>
      </c>
      <c r="G23" s="31"/>
      <c r="H23" s="30" t="s">
        <v>32</v>
      </c>
      <c r="I23" s="31" t="s">
        <v>429</v>
      </c>
      <c r="J23" s="30" t="s">
        <v>430</v>
      </c>
      <c r="K23" s="37"/>
      <c r="L23" s="29">
        <v>25482</v>
      </c>
      <c r="M23" s="29">
        <f t="shared" ca="1" si="0"/>
        <v>56.750684931506846</v>
      </c>
      <c r="N23" s="34" t="s">
        <v>126</v>
      </c>
      <c r="O23" s="35" t="s">
        <v>431</v>
      </c>
      <c r="P23" s="29" t="s">
        <v>126</v>
      </c>
      <c r="Q23" s="29" t="s">
        <v>432</v>
      </c>
      <c r="R23" s="29"/>
      <c r="S23" s="33"/>
      <c r="T23" s="29"/>
      <c r="U23" s="36"/>
      <c r="V23" s="177"/>
      <c r="W23" s="91"/>
      <c r="X23" s="92"/>
      <c r="Y23" s="93"/>
      <c r="Z23" s="149"/>
      <c r="AA23" s="146"/>
      <c r="AB23" s="157"/>
      <c r="AC23" s="220"/>
    </row>
    <row r="24" spans="1:29" ht="20.100000000000001" customHeight="1">
      <c r="A24" s="26">
        <v>23</v>
      </c>
      <c r="B24" s="27" t="s">
        <v>414</v>
      </c>
      <c r="C24" s="109">
        <v>36939916</v>
      </c>
      <c r="D24" s="28" t="s">
        <v>82</v>
      </c>
      <c r="E24" s="29" t="s">
        <v>261</v>
      </c>
      <c r="F24" s="30" t="s">
        <v>14</v>
      </c>
      <c r="G24" s="31" t="s">
        <v>16</v>
      </c>
      <c r="H24" s="30" t="s">
        <v>572</v>
      </c>
      <c r="I24" s="31" t="s">
        <v>340</v>
      </c>
      <c r="J24" s="30" t="s">
        <v>577</v>
      </c>
      <c r="K24" s="37" t="s">
        <v>16</v>
      </c>
      <c r="L24" s="29">
        <v>31020</v>
      </c>
      <c r="M24" s="29">
        <f t="shared" ca="1" si="0"/>
        <v>41.578082191780823</v>
      </c>
      <c r="N24" s="34" t="s">
        <v>341</v>
      </c>
      <c r="O24" s="35" t="s">
        <v>578</v>
      </c>
      <c r="P24" s="29" t="s">
        <v>21</v>
      </c>
      <c r="Q24" s="29" t="s">
        <v>579</v>
      </c>
      <c r="R24" s="29"/>
      <c r="S24" s="33"/>
      <c r="T24" s="29"/>
      <c r="U24" s="36"/>
      <c r="V24" s="177"/>
      <c r="W24" s="91"/>
      <c r="X24" s="92"/>
      <c r="Y24" s="93"/>
      <c r="Z24" s="149"/>
      <c r="AA24" s="146"/>
      <c r="AB24" s="157"/>
      <c r="AC24" s="220"/>
    </row>
    <row r="25" spans="1:29" ht="20.100000000000001" customHeight="1">
      <c r="A25" s="26">
        <v>24</v>
      </c>
      <c r="B25" s="27" t="s">
        <v>414</v>
      </c>
      <c r="C25" s="109">
        <v>36939916</v>
      </c>
      <c r="D25" s="27" t="s">
        <v>82</v>
      </c>
      <c r="E25" s="29" t="s">
        <v>261</v>
      </c>
      <c r="F25" s="49" t="s">
        <v>14</v>
      </c>
      <c r="G25" s="43" t="s">
        <v>16</v>
      </c>
      <c r="H25" s="49" t="s">
        <v>572</v>
      </c>
      <c r="I25" s="43" t="s">
        <v>340</v>
      </c>
      <c r="J25" s="39" t="s">
        <v>577</v>
      </c>
      <c r="K25" s="37" t="s">
        <v>16</v>
      </c>
      <c r="L25" s="29">
        <v>31020</v>
      </c>
      <c r="M25" s="29">
        <f t="shared" ca="1" si="0"/>
        <v>41.578082191780823</v>
      </c>
      <c r="N25" s="34" t="s">
        <v>341</v>
      </c>
      <c r="O25" s="35" t="s">
        <v>578</v>
      </c>
      <c r="P25" s="29" t="s">
        <v>21</v>
      </c>
      <c r="Q25" s="29" t="s">
        <v>579</v>
      </c>
      <c r="R25" s="29"/>
      <c r="S25" s="33"/>
      <c r="T25" s="29"/>
      <c r="U25" s="36"/>
      <c r="V25" s="177"/>
      <c r="W25" s="91"/>
      <c r="X25" s="92"/>
      <c r="Y25" s="93"/>
      <c r="Z25" s="149"/>
      <c r="AA25" s="146"/>
      <c r="AB25" s="157"/>
      <c r="AC25" s="220"/>
    </row>
    <row r="26" spans="1:29" ht="20.100000000000001" customHeight="1">
      <c r="A26" s="26">
        <v>25</v>
      </c>
      <c r="B26" s="27" t="s">
        <v>689</v>
      </c>
      <c r="C26" s="109">
        <v>314437948</v>
      </c>
      <c r="D26" s="28" t="s">
        <v>82</v>
      </c>
      <c r="E26" s="29" t="s">
        <v>261</v>
      </c>
      <c r="F26" s="39" t="s">
        <v>14</v>
      </c>
      <c r="G26" s="51"/>
      <c r="H26" s="39"/>
      <c r="I26" s="31" t="s">
        <v>690</v>
      </c>
      <c r="J26" s="30" t="s">
        <v>687</v>
      </c>
      <c r="K26" s="37"/>
      <c r="L26" s="29">
        <v>30725</v>
      </c>
      <c r="M26" s="29">
        <f t="shared" ca="1" si="0"/>
        <v>42.386301369863013</v>
      </c>
      <c r="N26" s="34" t="s">
        <v>20</v>
      </c>
      <c r="O26" s="35" t="s">
        <v>320</v>
      </c>
      <c r="P26" s="29" t="s">
        <v>24</v>
      </c>
      <c r="Q26" s="29" t="s">
        <v>688</v>
      </c>
      <c r="R26" s="29"/>
      <c r="S26" s="33"/>
      <c r="T26" s="29"/>
      <c r="U26" s="36"/>
      <c r="V26" s="177"/>
      <c r="W26" s="91"/>
      <c r="X26" s="92"/>
      <c r="Y26" s="93"/>
      <c r="Z26" s="149"/>
      <c r="AA26" s="146"/>
      <c r="AB26" s="157"/>
      <c r="AC26" s="220"/>
    </row>
    <row r="27" spans="1:29" ht="20.100000000000001" customHeight="1">
      <c r="A27" s="26">
        <v>26</v>
      </c>
      <c r="B27" s="27" t="s">
        <v>606</v>
      </c>
      <c r="C27" s="109" t="s">
        <v>607</v>
      </c>
      <c r="D27" s="28" t="s">
        <v>82</v>
      </c>
      <c r="E27" s="29" t="s">
        <v>262</v>
      </c>
      <c r="F27" s="49" t="s">
        <v>14</v>
      </c>
      <c r="G27" s="43"/>
      <c r="H27" s="49" t="s">
        <v>32</v>
      </c>
      <c r="I27" s="181" t="s">
        <v>609</v>
      </c>
      <c r="J27" s="39" t="s">
        <v>608</v>
      </c>
      <c r="K27" s="182"/>
      <c r="L27" s="29">
        <v>28164</v>
      </c>
      <c r="M27" s="29">
        <f ca="1">IF(L27=0,0,(TODAY()-L27)/365)</f>
        <v>49.402739726027399</v>
      </c>
      <c r="N27" s="34" t="s">
        <v>15</v>
      </c>
      <c r="O27" s="35" t="s">
        <v>123</v>
      </c>
      <c r="P27" s="29" t="s">
        <v>104</v>
      </c>
      <c r="Q27" s="29" t="s">
        <v>610</v>
      </c>
      <c r="R27" s="29"/>
      <c r="S27" s="33"/>
      <c r="T27" s="29"/>
      <c r="U27" s="36"/>
      <c r="V27" s="177"/>
      <c r="W27" s="91"/>
      <c r="X27" s="92"/>
      <c r="Y27" s="93"/>
      <c r="Z27" s="149"/>
      <c r="AA27" s="146"/>
      <c r="AB27" s="157"/>
      <c r="AC27" s="220"/>
    </row>
    <row r="28" spans="1:29" ht="20.100000000000001" customHeight="1">
      <c r="A28" s="26">
        <v>27</v>
      </c>
      <c r="B28" s="27" t="s">
        <v>499</v>
      </c>
      <c r="C28" s="109">
        <v>307372276</v>
      </c>
      <c r="D28" s="28" t="s">
        <v>82</v>
      </c>
      <c r="E28" s="29" t="s">
        <v>262</v>
      </c>
      <c r="F28" s="30" t="s">
        <v>14</v>
      </c>
      <c r="G28" s="31"/>
      <c r="H28" s="30" t="s">
        <v>32</v>
      </c>
      <c r="I28" s="31" t="s">
        <v>500</v>
      </c>
      <c r="J28" s="30" t="s">
        <v>503</v>
      </c>
      <c r="K28" s="54"/>
      <c r="L28" s="29">
        <v>29710</v>
      </c>
      <c r="M28" s="29">
        <f ca="1">(TODAY()-L28)/365</f>
        <v>45.167123287671231</v>
      </c>
      <c r="N28" s="34" t="s">
        <v>129</v>
      </c>
      <c r="O28" s="35" t="s">
        <v>502</v>
      </c>
      <c r="P28" s="29" t="s">
        <v>104</v>
      </c>
      <c r="Q28" s="29" t="s">
        <v>501</v>
      </c>
      <c r="R28" s="29"/>
      <c r="S28" s="33"/>
      <c r="T28" s="29"/>
      <c r="U28" s="55"/>
      <c r="V28" s="179"/>
      <c r="W28" s="91"/>
      <c r="X28" s="92"/>
      <c r="Y28" s="93"/>
      <c r="Z28" s="149"/>
      <c r="AA28" s="146"/>
      <c r="AB28" s="157"/>
      <c r="AC28" s="220"/>
    </row>
    <row r="29" spans="1:29" ht="20.100000000000001" customHeight="1">
      <c r="A29" s="26">
        <v>28</v>
      </c>
      <c r="B29" s="27" t="s">
        <v>523</v>
      </c>
      <c r="C29" s="109">
        <v>324351709</v>
      </c>
      <c r="D29" s="28" t="s">
        <v>82</v>
      </c>
      <c r="E29" s="29" t="s">
        <v>262</v>
      </c>
      <c r="F29" s="30" t="s">
        <v>14</v>
      </c>
      <c r="G29" s="31" t="s">
        <v>528</v>
      </c>
      <c r="H29" s="30" t="s">
        <v>32</v>
      </c>
      <c r="I29" s="31" t="s">
        <v>462</v>
      </c>
      <c r="J29" s="30" t="s">
        <v>529</v>
      </c>
      <c r="K29" s="37"/>
      <c r="L29" s="29">
        <v>34474</v>
      </c>
      <c r="M29" s="29">
        <f ca="1">(TODAY()-L29)/365</f>
        <v>32.115068493150687</v>
      </c>
      <c r="N29" s="34" t="s">
        <v>144</v>
      </c>
      <c r="O29" s="35" t="s">
        <v>107</v>
      </c>
      <c r="P29" s="29" t="s">
        <v>24</v>
      </c>
      <c r="Q29" s="29" t="s">
        <v>530</v>
      </c>
      <c r="R29" s="29"/>
      <c r="S29" s="33"/>
      <c r="T29" s="29"/>
      <c r="U29" s="55"/>
      <c r="V29" s="179"/>
      <c r="W29" s="91"/>
      <c r="X29" s="92"/>
      <c r="Y29" s="93"/>
      <c r="Z29" s="149"/>
      <c r="AA29" s="146"/>
      <c r="AB29" s="157"/>
      <c r="AC29" s="220"/>
    </row>
    <row r="30" spans="1:29" ht="20.100000000000001" customHeight="1">
      <c r="A30" s="26">
        <v>29</v>
      </c>
      <c r="B30" s="27" t="s">
        <v>463</v>
      </c>
      <c r="C30" s="109">
        <v>11852951</v>
      </c>
      <c r="D30" s="28" t="s">
        <v>82</v>
      </c>
      <c r="E30" s="29" t="s">
        <v>262</v>
      </c>
      <c r="F30" s="30" t="s">
        <v>22</v>
      </c>
      <c r="G30" s="31" t="s">
        <v>90</v>
      </c>
      <c r="H30" s="30" t="s">
        <v>32</v>
      </c>
      <c r="I30" s="31" t="s">
        <v>465</v>
      </c>
      <c r="J30" s="30" t="s">
        <v>464</v>
      </c>
      <c r="K30" s="37"/>
      <c r="L30" s="29">
        <v>22411</v>
      </c>
      <c r="M30" s="29">
        <v>61.772602739726025</v>
      </c>
      <c r="N30" s="34" t="s">
        <v>20</v>
      </c>
      <c r="O30" s="35" t="s">
        <v>104</v>
      </c>
      <c r="P30" s="29" t="s">
        <v>467</v>
      </c>
      <c r="Q30" s="29" t="s">
        <v>466</v>
      </c>
      <c r="R30" s="29"/>
      <c r="S30" s="33"/>
      <c r="T30" s="29"/>
      <c r="U30" s="36"/>
      <c r="V30" s="177"/>
      <c r="W30" s="91"/>
      <c r="X30" s="92"/>
      <c r="Y30" s="93"/>
      <c r="Z30" s="149"/>
      <c r="AA30" s="146"/>
      <c r="AB30" s="157"/>
      <c r="AC30" s="220"/>
    </row>
    <row r="31" spans="1:29" ht="20.100000000000001" customHeight="1">
      <c r="A31" s="26">
        <v>30</v>
      </c>
      <c r="B31" s="27" t="s">
        <v>255</v>
      </c>
      <c r="C31" s="109">
        <v>310552328</v>
      </c>
      <c r="D31" s="27" t="s">
        <v>82</v>
      </c>
      <c r="E31" s="29" t="s">
        <v>261</v>
      </c>
      <c r="F31" s="49" t="s">
        <v>22</v>
      </c>
      <c r="G31" s="43" t="s">
        <v>25</v>
      </c>
      <c r="H31" s="49" t="s">
        <v>32</v>
      </c>
      <c r="I31" s="43" t="s">
        <v>52</v>
      </c>
      <c r="J31" s="39" t="s">
        <v>53</v>
      </c>
      <c r="K31" s="183" t="s">
        <v>16</v>
      </c>
      <c r="L31" s="29">
        <v>23154</v>
      </c>
      <c r="M31" s="29">
        <f ca="1">(TODAY()-L31)/365</f>
        <v>63.128767123287673</v>
      </c>
      <c r="N31" s="34" t="s">
        <v>20</v>
      </c>
      <c r="O31" s="35" t="s">
        <v>54</v>
      </c>
      <c r="P31" s="44" t="s">
        <v>345</v>
      </c>
      <c r="Q31" s="29" t="s">
        <v>55</v>
      </c>
      <c r="R31" s="44"/>
      <c r="S31" s="33"/>
      <c r="T31" s="29"/>
      <c r="U31" s="36"/>
      <c r="V31" s="177"/>
      <c r="W31" s="91"/>
      <c r="X31" s="92"/>
      <c r="Y31" s="93"/>
      <c r="Z31" s="149"/>
      <c r="AA31" s="146"/>
      <c r="AB31" s="157"/>
      <c r="AC31" s="220"/>
    </row>
    <row r="32" spans="1:29" ht="20.100000000000001" customHeight="1">
      <c r="A32" s="26">
        <v>31</v>
      </c>
      <c r="B32" s="27" t="s">
        <v>360</v>
      </c>
      <c r="C32" s="109">
        <v>200295913</v>
      </c>
      <c r="D32" s="27" t="s">
        <v>82</v>
      </c>
      <c r="E32" s="29" t="s">
        <v>262</v>
      </c>
      <c r="F32" s="30" t="s">
        <v>14</v>
      </c>
      <c r="G32" s="31"/>
      <c r="H32" s="30" t="s">
        <v>32</v>
      </c>
      <c r="I32" s="31" t="s">
        <v>462</v>
      </c>
      <c r="J32" s="39" t="s">
        <v>332</v>
      </c>
      <c r="K32" s="85"/>
      <c r="L32" s="44">
        <v>32338</v>
      </c>
      <c r="M32" s="44">
        <f ca="1">(TODAY()-L32)/365</f>
        <v>37.967123287671235</v>
      </c>
      <c r="N32" s="34" t="s">
        <v>144</v>
      </c>
      <c r="O32" s="35" t="s">
        <v>422</v>
      </c>
      <c r="P32" s="29" t="s">
        <v>104</v>
      </c>
      <c r="Q32" s="29" t="s">
        <v>566</v>
      </c>
      <c r="R32" s="29"/>
      <c r="S32" s="33"/>
      <c r="T32" s="29"/>
      <c r="U32" s="55"/>
      <c r="V32" s="179"/>
      <c r="W32" s="91"/>
      <c r="X32" s="92"/>
      <c r="Y32" s="93"/>
      <c r="Z32" s="149"/>
      <c r="AA32" s="146"/>
      <c r="AB32" s="157"/>
      <c r="AC32" s="220"/>
    </row>
    <row r="33" spans="1:29" ht="20.100000000000001" customHeight="1">
      <c r="A33" s="26">
        <v>32</v>
      </c>
      <c r="B33" s="56" t="s">
        <v>172</v>
      </c>
      <c r="C33" s="111">
        <v>39182407</v>
      </c>
      <c r="D33" s="57" t="s">
        <v>82</v>
      </c>
      <c r="E33" s="29" t="s">
        <v>260</v>
      </c>
      <c r="F33" s="39" t="s">
        <v>14</v>
      </c>
      <c r="G33" s="51"/>
      <c r="H33" s="39" t="s">
        <v>32</v>
      </c>
      <c r="I33" s="51" t="s">
        <v>184</v>
      </c>
      <c r="J33" s="30" t="s">
        <v>185</v>
      </c>
      <c r="K33" s="58"/>
      <c r="L33" s="44">
        <v>30332</v>
      </c>
      <c r="M33" s="59">
        <v>42.287671232876711</v>
      </c>
      <c r="N33" s="60" t="s">
        <v>23</v>
      </c>
      <c r="O33" s="35" t="s">
        <v>348</v>
      </c>
      <c r="P33" s="44" t="s">
        <v>46</v>
      </c>
      <c r="Q33" s="44" t="s">
        <v>274</v>
      </c>
      <c r="R33" s="29"/>
      <c r="S33" s="52"/>
      <c r="T33" s="29"/>
      <c r="U33" s="36"/>
      <c r="V33" s="177"/>
      <c r="W33" s="91"/>
      <c r="X33" s="92"/>
      <c r="Y33" s="93"/>
      <c r="Z33" s="149"/>
      <c r="AA33" s="146"/>
      <c r="AB33" s="157"/>
      <c r="AC33" s="220"/>
    </row>
    <row r="34" spans="1:29" ht="20.100000000000001" customHeight="1">
      <c r="A34" s="26">
        <v>33</v>
      </c>
      <c r="B34" s="27" t="s">
        <v>603</v>
      </c>
      <c r="C34" s="109">
        <v>22923767</v>
      </c>
      <c r="D34" s="27" t="s">
        <v>82</v>
      </c>
      <c r="E34" s="29" t="s">
        <v>262</v>
      </c>
      <c r="F34" s="30" t="s">
        <v>14</v>
      </c>
      <c r="G34" s="31"/>
      <c r="H34" s="30" t="s">
        <v>32</v>
      </c>
      <c r="I34" s="31" t="s">
        <v>334</v>
      </c>
      <c r="J34" s="39"/>
      <c r="K34" s="37"/>
      <c r="L34" s="29">
        <v>24862</v>
      </c>
      <c r="M34" s="29">
        <f ca="1">(TODAY()-L34)/365</f>
        <v>58.449315068493149</v>
      </c>
      <c r="N34" s="34" t="s">
        <v>144</v>
      </c>
      <c r="O34" s="35" t="s">
        <v>107</v>
      </c>
      <c r="P34" s="29" t="s">
        <v>345</v>
      </c>
      <c r="Q34" s="29" t="s">
        <v>271</v>
      </c>
      <c r="R34" s="29"/>
      <c r="S34" s="33"/>
      <c r="T34" s="29"/>
      <c r="U34" s="36"/>
      <c r="V34" s="177"/>
      <c r="W34" s="91"/>
      <c r="X34" s="92"/>
      <c r="Y34" s="93"/>
      <c r="Z34" s="149"/>
      <c r="AA34" s="146"/>
      <c r="AB34" s="157"/>
      <c r="AC34" s="220"/>
    </row>
    <row r="35" spans="1:29" ht="20.100000000000001" customHeight="1">
      <c r="A35" s="26">
        <v>34</v>
      </c>
      <c r="B35" s="27" t="s">
        <v>473</v>
      </c>
      <c r="C35" s="109">
        <v>300711827</v>
      </c>
      <c r="D35" s="28" t="s">
        <v>82</v>
      </c>
      <c r="E35" s="29"/>
      <c r="F35" s="30" t="s">
        <v>22</v>
      </c>
      <c r="G35" s="31" t="s">
        <v>479</v>
      </c>
      <c r="H35" s="30" t="s">
        <v>32</v>
      </c>
      <c r="I35" s="31" t="s">
        <v>474</v>
      </c>
      <c r="J35" s="30" t="s">
        <v>475</v>
      </c>
      <c r="K35" s="32"/>
      <c r="L35" s="29">
        <v>31839</v>
      </c>
      <c r="M35" s="29">
        <v>36.232876712328768</v>
      </c>
      <c r="N35" s="34" t="s">
        <v>476</v>
      </c>
      <c r="O35" s="35"/>
      <c r="P35" s="29" t="s">
        <v>477</v>
      </c>
      <c r="Q35" s="29" t="s">
        <v>478</v>
      </c>
      <c r="R35" s="29" t="s">
        <v>531</v>
      </c>
      <c r="S35" s="33"/>
      <c r="T35" s="29"/>
      <c r="U35" s="36"/>
      <c r="V35" s="177"/>
      <c r="W35" s="91"/>
      <c r="X35" s="92"/>
      <c r="Y35" s="93"/>
      <c r="Z35" s="149"/>
      <c r="AA35" s="146"/>
      <c r="AB35" s="157"/>
      <c r="AC35" s="220"/>
    </row>
    <row r="36" spans="1:29" ht="20.100000000000001" customHeight="1">
      <c r="A36" s="26">
        <v>35</v>
      </c>
      <c r="B36" s="27" t="s">
        <v>541</v>
      </c>
      <c r="C36" s="109"/>
      <c r="D36" s="28" t="s">
        <v>82</v>
      </c>
      <c r="E36" s="29"/>
      <c r="F36" s="30"/>
      <c r="G36" s="31"/>
      <c r="H36" s="30"/>
      <c r="I36" s="31"/>
      <c r="J36" s="30"/>
      <c r="K36" s="54"/>
      <c r="L36" s="29"/>
      <c r="M36" s="29"/>
      <c r="N36" s="34"/>
      <c r="O36" s="35"/>
      <c r="P36" s="29"/>
      <c r="Q36" s="29"/>
      <c r="R36" s="29"/>
      <c r="S36" s="33"/>
      <c r="T36" s="29"/>
      <c r="U36" s="36"/>
      <c r="V36" s="177"/>
      <c r="W36" s="91"/>
      <c r="X36" s="92"/>
      <c r="Y36" s="93"/>
      <c r="Z36" s="149"/>
      <c r="AA36" s="146"/>
      <c r="AB36" s="157"/>
      <c r="AC36" s="220"/>
    </row>
    <row r="37" spans="1:29" ht="20.100000000000001" customHeight="1">
      <c r="A37" s="26">
        <v>36</v>
      </c>
      <c r="B37" s="27" t="s">
        <v>231</v>
      </c>
      <c r="C37" s="109">
        <v>328790977</v>
      </c>
      <c r="D37" s="28" t="s">
        <v>82</v>
      </c>
      <c r="E37" s="29" t="s">
        <v>261</v>
      </c>
      <c r="F37" s="30" t="s">
        <v>14</v>
      </c>
      <c r="G37" s="31"/>
      <c r="H37" s="30" t="s">
        <v>32</v>
      </c>
      <c r="I37" s="31" t="s">
        <v>240</v>
      </c>
      <c r="J37" s="30" t="s">
        <v>282</v>
      </c>
      <c r="K37" s="37" t="s">
        <v>16</v>
      </c>
      <c r="L37" s="29">
        <v>27395</v>
      </c>
      <c r="M37" s="29">
        <f ca="1">(TODAY()-L37)/365</f>
        <v>51.509589041095893</v>
      </c>
      <c r="N37" s="34" t="s">
        <v>23</v>
      </c>
      <c r="O37" s="35" t="s">
        <v>107</v>
      </c>
      <c r="P37" s="29" t="s">
        <v>250</v>
      </c>
      <c r="Q37" s="29" t="s">
        <v>403</v>
      </c>
      <c r="R37" s="29"/>
      <c r="S37" s="33"/>
      <c r="T37" s="29"/>
      <c r="U37" s="36"/>
      <c r="V37" s="177"/>
      <c r="W37" s="91"/>
      <c r="X37" s="92"/>
      <c r="Y37" s="93"/>
      <c r="Z37" s="149"/>
      <c r="AA37" s="146"/>
      <c r="AB37" s="157"/>
      <c r="AC37" s="220"/>
    </row>
    <row r="38" spans="1:29" ht="20.100000000000001" customHeight="1">
      <c r="A38" s="26">
        <v>37</v>
      </c>
      <c r="B38" s="27" t="s">
        <v>580</v>
      </c>
      <c r="C38" s="109">
        <v>314305517</v>
      </c>
      <c r="D38" s="27" t="s">
        <v>82</v>
      </c>
      <c r="E38" s="29" t="s">
        <v>262</v>
      </c>
      <c r="F38" s="49" t="s">
        <v>22</v>
      </c>
      <c r="G38" s="43"/>
      <c r="H38" s="49" t="s">
        <v>32</v>
      </c>
      <c r="I38" s="184" t="s">
        <v>581</v>
      </c>
      <c r="J38" s="39" t="s">
        <v>582</v>
      </c>
      <c r="K38" s="37"/>
      <c r="L38" s="29">
        <v>26062</v>
      </c>
      <c r="M38" s="29">
        <v>53.112328767123287</v>
      </c>
      <c r="N38" s="34" t="s">
        <v>20</v>
      </c>
      <c r="O38" s="35" t="s">
        <v>584</v>
      </c>
      <c r="P38" s="29" t="s">
        <v>46</v>
      </c>
      <c r="Q38" s="29" t="s">
        <v>583</v>
      </c>
      <c r="R38" s="29"/>
      <c r="S38" s="52"/>
      <c r="T38" s="29"/>
      <c r="U38" s="36"/>
      <c r="V38" s="177"/>
      <c r="W38" s="91"/>
      <c r="X38" s="92"/>
      <c r="Y38" s="93"/>
      <c r="Z38" s="149"/>
      <c r="AA38" s="146"/>
      <c r="AB38" s="157"/>
      <c r="AC38" s="220"/>
    </row>
    <row r="39" spans="1:29" ht="20.100000000000001" customHeight="1">
      <c r="A39" s="26">
        <v>38</v>
      </c>
      <c r="B39" s="27" t="s">
        <v>632</v>
      </c>
      <c r="C39" s="109">
        <v>36296069</v>
      </c>
      <c r="D39" s="28" t="s">
        <v>82</v>
      </c>
      <c r="E39" s="29" t="s">
        <v>262</v>
      </c>
      <c r="F39" s="30" t="s">
        <v>14</v>
      </c>
      <c r="G39" s="31"/>
      <c r="H39" s="30" t="s">
        <v>32</v>
      </c>
      <c r="I39" s="31" t="s">
        <v>633</v>
      </c>
      <c r="J39" s="30" t="s">
        <v>634</v>
      </c>
      <c r="K39" s="37"/>
      <c r="L39" s="29">
        <v>28966</v>
      </c>
      <c r="M39" s="29">
        <v>45.424657534246577</v>
      </c>
      <c r="N39" s="34" t="s">
        <v>24</v>
      </c>
      <c r="O39" s="35" t="s">
        <v>635</v>
      </c>
      <c r="P39" s="29" t="s">
        <v>637</v>
      </c>
      <c r="Q39" s="29" t="s">
        <v>636</v>
      </c>
      <c r="R39" s="29"/>
      <c r="S39" s="33"/>
      <c r="T39" s="29"/>
      <c r="U39" s="36"/>
      <c r="V39" s="177"/>
      <c r="W39" s="91"/>
      <c r="X39" s="92"/>
      <c r="Y39" s="93"/>
      <c r="Z39" s="149"/>
      <c r="AA39" s="146"/>
      <c r="AB39" s="157"/>
      <c r="AC39" s="220"/>
    </row>
    <row r="40" spans="1:29" ht="20.100000000000001" customHeight="1">
      <c r="A40" s="26">
        <v>39</v>
      </c>
      <c r="B40" s="27" t="s">
        <v>408</v>
      </c>
      <c r="C40" s="109">
        <v>310235478</v>
      </c>
      <c r="D40" s="28" t="s">
        <v>82</v>
      </c>
      <c r="E40" s="29" t="s">
        <v>261</v>
      </c>
      <c r="F40" s="39" t="s">
        <v>410</v>
      </c>
      <c r="G40" s="51" t="s">
        <v>412</v>
      </c>
      <c r="H40" s="39" t="s">
        <v>32</v>
      </c>
      <c r="I40" s="185" t="s">
        <v>409</v>
      </c>
      <c r="J40" s="39" t="s">
        <v>411</v>
      </c>
      <c r="K40" s="37"/>
      <c r="L40" s="44">
        <v>29682</v>
      </c>
      <c r="M40" s="44">
        <f ca="1">(TODAY()-L40)/365</f>
        <v>45.243835616438353</v>
      </c>
      <c r="N40" s="34" t="s">
        <v>23</v>
      </c>
      <c r="O40" s="35" t="s">
        <v>596</v>
      </c>
      <c r="P40" s="44" t="s">
        <v>46</v>
      </c>
      <c r="Q40" s="44" t="s">
        <v>595</v>
      </c>
      <c r="R40" s="44"/>
      <c r="S40" s="52" t="s">
        <v>597</v>
      </c>
      <c r="T40" s="29"/>
      <c r="U40" s="36"/>
      <c r="V40" s="177"/>
      <c r="W40" s="91"/>
      <c r="X40" s="92"/>
      <c r="Y40" s="93"/>
      <c r="Z40" s="149"/>
      <c r="AA40" s="146"/>
      <c r="AB40" s="157"/>
      <c r="AC40" s="220"/>
    </row>
    <row r="41" spans="1:29" ht="20.100000000000001" customHeight="1">
      <c r="A41" s="26">
        <v>40</v>
      </c>
      <c r="B41" s="27" t="s">
        <v>547</v>
      </c>
      <c r="C41" s="109">
        <v>316774405</v>
      </c>
      <c r="D41" s="28" t="s">
        <v>82</v>
      </c>
      <c r="E41" s="29" t="s">
        <v>262</v>
      </c>
      <c r="F41" s="30" t="s">
        <v>14</v>
      </c>
      <c r="G41" s="51"/>
      <c r="H41" s="30" t="s">
        <v>572</v>
      </c>
      <c r="I41" s="31" t="s">
        <v>549</v>
      </c>
      <c r="J41" s="30" t="s">
        <v>548</v>
      </c>
      <c r="K41" s="37"/>
      <c r="L41" s="29">
        <v>27175</v>
      </c>
      <c r="M41" s="29">
        <f ca="1">(TODAY()-L41)/365</f>
        <v>52.112328767123287</v>
      </c>
      <c r="N41" s="34" t="s">
        <v>20</v>
      </c>
      <c r="O41" s="35" t="s">
        <v>551</v>
      </c>
      <c r="P41" s="29" t="s">
        <v>104</v>
      </c>
      <c r="Q41" s="29" t="s">
        <v>550</v>
      </c>
      <c r="R41" s="29"/>
      <c r="S41" s="33"/>
      <c r="T41" s="33"/>
      <c r="U41" s="36"/>
      <c r="V41" s="177"/>
      <c r="W41" s="91"/>
      <c r="X41" s="92"/>
      <c r="Y41" s="93"/>
      <c r="Z41" s="149"/>
      <c r="AA41" s="146"/>
      <c r="AB41" s="157"/>
      <c r="AC41" s="220"/>
    </row>
    <row r="42" spans="1:29" ht="20.100000000000001" customHeight="1">
      <c r="A42" s="26">
        <v>41</v>
      </c>
      <c r="B42" s="186" t="s">
        <v>552</v>
      </c>
      <c r="C42" s="187">
        <v>201393949</v>
      </c>
      <c r="D42" s="28" t="s">
        <v>82</v>
      </c>
      <c r="E42" s="29" t="s">
        <v>506</v>
      </c>
      <c r="F42" s="30" t="s">
        <v>14</v>
      </c>
      <c r="G42" s="51"/>
      <c r="H42" s="39" t="s">
        <v>32</v>
      </c>
      <c r="I42" s="51" t="s">
        <v>543</v>
      </c>
      <c r="J42" s="39" t="s">
        <v>544</v>
      </c>
      <c r="K42" s="58"/>
      <c r="L42" s="44">
        <v>32560</v>
      </c>
      <c r="M42" s="44">
        <v>34.402739726027399</v>
      </c>
      <c r="N42" s="34" t="s">
        <v>23</v>
      </c>
      <c r="O42" s="35" t="s">
        <v>546</v>
      </c>
      <c r="P42" s="44" t="s">
        <v>24</v>
      </c>
      <c r="Q42" s="44" t="s">
        <v>545</v>
      </c>
      <c r="R42" s="44"/>
      <c r="S42" s="52"/>
      <c r="T42" s="44"/>
      <c r="U42" s="36"/>
      <c r="V42" s="177"/>
      <c r="W42" s="91"/>
      <c r="X42" s="92"/>
      <c r="Y42" s="93"/>
      <c r="Z42" s="149"/>
      <c r="AA42" s="146"/>
      <c r="AB42" s="157"/>
      <c r="AC42" s="220"/>
    </row>
    <row r="43" spans="1:29" ht="20.100000000000001" customHeight="1">
      <c r="A43" s="26">
        <v>42</v>
      </c>
      <c r="B43" s="27" t="s">
        <v>573</v>
      </c>
      <c r="C43" s="109">
        <v>24032195</v>
      </c>
      <c r="D43" s="27" t="s">
        <v>82</v>
      </c>
      <c r="E43" s="29" t="s">
        <v>574</v>
      </c>
      <c r="F43" s="49" t="s">
        <v>14</v>
      </c>
      <c r="G43" s="43"/>
      <c r="H43" s="49" t="s">
        <v>572</v>
      </c>
      <c r="I43" s="43" t="s">
        <v>334</v>
      </c>
      <c r="J43" s="39" t="s">
        <v>286</v>
      </c>
      <c r="K43" s="37" t="s">
        <v>308</v>
      </c>
      <c r="L43" s="29">
        <v>25102</v>
      </c>
      <c r="M43" s="29">
        <f ca="1">(TODAY()-L43)/365</f>
        <v>57.791780821917811</v>
      </c>
      <c r="N43" s="34" t="s">
        <v>144</v>
      </c>
      <c r="O43" s="35" t="s">
        <v>391</v>
      </c>
      <c r="P43" s="29" t="s">
        <v>345</v>
      </c>
      <c r="Q43" s="29" t="s">
        <v>271</v>
      </c>
      <c r="R43" s="29"/>
      <c r="S43" s="33"/>
      <c r="T43" s="29"/>
      <c r="U43" s="36"/>
      <c r="V43" s="177"/>
      <c r="W43" s="91"/>
      <c r="X43" s="92"/>
      <c r="Y43" s="93"/>
      <c r="Z43" s="149"/>
      <c r="AA43" s="146"/>
      <c r="AB43" s="157"/>
      <c r="AC43" s="220"/>
    </row>
    <row r="44" spans="1:29" ht="20.100000000000001" customHeight="1">
      <c r="A44" s="26">
        <v>43</v>
      </c>
      <c r="B44" s="27" t="s">
        <v>648</v>
      </c>
      <c r="C44" s="109">
        <v>32147118</v>
      </c>
      <c r="D44" s="27" t="s">
        <v>82</v>
      </c>
      <c r="E44" s="29" t="s">
        <v>262</v>
      </c>
      <c r="F44" s="49" t="s">
        <v>14</v>
      </c>
      <c r="G44" s="43"/>
      <c r="H44" s="49" t="s">
        <v>32</v>
      </c>
      <c r="I44" s="43" t="s">
        <v>650</v>
      </c>
      <c r="J44" s="39" t="s">
        <v>639</v>
      </c>
      <c r="K44" s="37"/>
      <c r="L44" s="29">
        <v>27544</v>
      </c>
      <c r="M44" s="29">
        <v>49.591780821917808</v>
      </c>
      <c r="N44" s="34" t="s">
        <v>20</v>
      </c>
      <c r="O44" s="35" t="s">
        <v>638</v>
      </c>
      <c r="P44" s="29" t="s">
        <v>485</v>
      </c>
      <c r="Q44" s="29" t="s">
        <v>501</v>
      </c>
      <c r="R44" s="29"/>
      <c r="S44" s="33"/>
      <c r="T44" s="29"/>
      <c r="U44" s="36"/>
      <c r="V44" s="177"/>
      <c r="W44" s="91"/>
      <c r="X44" s="92"/>
      <c r="Y44" s="93"/>
      <c r="Z44" s="149"/>
      <c r="AA44" s="146"/>
      <c r="AB44" s="157"/>
      <c r="AC44" s="220"/>
    </row>
    <row r="45" spans="1:29" ht="20.100000000000001" customHeight="1">
      <c r="A45" s="26">
        <v>44</v>
      </c>
      <c r="B45" s="27" t="s">
        <v>642</v>
      </c>
      <c r="C45" s="109">
        <v>300565207</v>
      </c>
      <c r="D45" s="28" t="s">
        <v>82</v>
      </c>
      <c r="E45" s="29" t="s">
        <v>262</v>
      </c>
      <c r="F45" s="30" t="s">
        <v>643</v>
      </c>
      <c r="G45" s="31"/>
      <c r="H45" s="30" t="s">
        <v>32</v>
      </c>
      <c r="I45" s="31" t="s">
        <v>645</v>
      </c>
      <c r="J45" s="30" t="s">
        <v>644</v>
      </c>
      <c r="K45" s="37"/>
      <c r="L45" s="29">
        <v>31741</v>
      </c>
      <c r="M45" s="29">
        <v>37.857534246575341</v>
      </c>
      <c r="N45" s="34"/>
      <c r="O45" s="35" t="s">
        <v>647</v>
      </c>
      <c r="P45" s="29" t="s">
        <v>635</v>
      </c>
      <c r="Q45" s="29" t="s">
        <v>646</v>
      </c>
      <c r="R45" s="29"/>
      <c r="S45" s="33"/>
      <c r="T45" s="29"/>
      <c r="U45" s="36"/>
      <c r="V45" s="177"/>
      <c r="W45" s="91"/>
      <c r="X45" s="92"/>
      <c r="Y45" s="93"/>
      <c r="Z45" s="149"/>
      <c r="AA45" s="146"/>
      <c r="AB45" s="157"/>
      <c r="AC45" s="220"/>
    </row>
    <row r="46" spans="1:29" ht="20.100000000000001" customHeight="1">
      <c r="A46" s="26">
        <v>45</v>
      </c>
      <c r="B46" s="27" t="s">
        <v>665</v>
      </c>
      <c r="C46" s="109">
        <v>24362659</v>
      </c>
      <c r="D46" s="28" t="s">
        <v>82</v>
      </c>
      <c r="E46" s="29" t="s">
        <v>684</v>
      </c>
      <c r="F46" s="30" t="s">
        <v>14</v>
      </c>
      <c r="G46" s="31" t="s">
        <v>666</v>
      </c>
      <c r="H46" s="30" t="s">
        <v>32</v>
      </c>
      <c r="I46" s="31" t="s">
        <v>334</v>
      </c>
      <c r="J46" s="30" t="s">
        <v>667</v>
      </c>
      <c r="K46" s="37"/>
      <c r="L46" s="29">
        <v>25520</v>
      </c>
      <c r="M46" s="29">
        <v>55.841095890410962</v>
      </c>
      <c r="N46" s="34" t="s">
        <v>144</v>
      </c>
      <c r="O46" s="35" t="s">
        <v>630</v>
      </c>
      <c r="P46" s="29" t="s">
        <v>21</v>
      </c>
      <c r="Q46" s="29" t="s">
        <v>668</v>
      </c>
      <c r="R46" s="29"/>
      <c r="S46" s="33"/>
      <c r="T46" s="29"/>
      <c r="U46" s="55"/>
      <c r="V46" s="179"/>
      <c r="W46" s="91"/>
      <c r="X46" s="92"/>
      <c r="Y46" s="93"/>
      <c r="Z46" s="149"/>
      <c r="AA46" s="146"/>
      <c r="AB46" s="157"/>
      <c r="AC46" s="220"/>
    </row>
    <row r="47" spans="1:29" ht="20.100000000000001" customHeight="1">
      <c r="A47" s="26">
        <v>46</v>
      </c>
      <c r="B47" s="27" t="s">
        <v>456</v>
      </c>
      <c r="C47" s="109">
        <v>203312996</v>
      </c>
      <c r="D47" s="27" t="s">
        <v>82</v>
      </c>
      <c r="E47" s="29" t="s">
        <v>262</v>
      </c>
      <c r="F47" s="49" t="s">
        <v>14</v>
      </c>
      <c r="G47" s="43" t="s">
        <v>90</v>
      </c>
      <c r="H47" s="49" t="s">
        <v>32</v>
      </c>
      <c r="I47" s="31" t="s">
        <v>457</v>
      </c>
      <c r="J47" s="39" t="s">
        <v>458</v>
      </c>
      <c r="K47" s="37"/>
      <c r="L47" s="29">
        <v>33599</v>
      </c>
      <c r="M47" s="29">
        <v>31.410958904109588</v>
      </c>
      <c r="N47" s="34" t="s">
        <v>20</v>
      </c>
      <c r="O47" s="35"/>
      <c r="P47" s="29"/>
      <c r="Q47" s="29"/>
      <c r="R47" s="29"/>
      <c r="S47" s="33"/>
      <c r="T47" s="29"/>
      <c r="U47" s="36"/>
      <c r="V47" s="177"/>
      <c r="W47" s="91"/>
      <c r="X47" s="92"/>
      <c r="Y47" s="93"/>
      <c r="Z47" s="149"/>
      <c r="AA47" s="146"/>
      <c r="AB47" s="157"/>
      <c r="AC47" s="220"/>
    </row>
    <row r="48" spans="1:29" ht="20.100000000000001" customHeight="1">
      <c r="A48" s="26">
        <v>47</v>
      </c>
      <c r="B48" s="27" t="s">
        <v>459</v>
      </c>
      <c r="C48" s="109">
        <v>345371009</v>
      </c>
      <c r="D48" s="28" t="s">
        <v>82</v>
      </c>
      <c r="E48" s="29" t="s">
        <v>262</v>
      </c>
      <c r="F48" s="30" t="s">
        <v>14</v>
      </c>
      <c r="G48" s="31"/>
      <c r="H48" s="30" t="s">
        <v>32</v>
      </c>
      <c r="I48" s="31" t="s">
        <v>462</v>
      </c>
      <c r="J48" s="30" t="s">
        <v>461</v>
      </c>
      <c r="K48" s="32"/>
      <c r="L48" s="29">
        <v>35866</v>
      </c>
      <c r="M48" s="29">
        <v>25.2</v>
      </c>
      <c r="N48" s="34" t="s">
        <v>144</v>
      </c>
      <c r="O48" s="35" t="s">
        <v>104</v>
      </c>
      <c r="P48" s="29" t="s">
        <v>159</v>
      </c>
      <c r="Q48" s="29" t="s">
        <v>263</v>
      </c>
      <c r="R48" s="29"/>
      <c r="S48" s="33"/>
      <c r="T48" s="29"/>
      <c r="U48" s="36"/>
      <c r="V48" s="177"/>
      <c r="W48" s="91"/>
      <c r="X48" s="92"/>
      <c r="Y48" s="93"/>
      <c r="Z48" s="149"/>
      <c r="AA48" s="146"/>
      <c r="AB48" s="157"/>
      <c r="AC48" s="220"/>
    </row>
    <row r="49" spans="1:29" ht="20.100000000000001" customHeight="1">
      <c r="A49" s="26">
        <v>48</v>
      </c>
      <c r="B49" s="27" t="s">
        <v>423</v>
      </c>
      <c r="C49" s="109">
        <v>309599942</v>
      </c>
      <c r="D49" s="28" t="s">
        <v>82</v>
      </c>
      <c r="E49" s="29"/>
      <c r="F49" s="30" t="s">
        <v>14</v>
      </c>
      <c r="G49" s="31"/>
      <c r="H49" s="30" t="s">
        <v>32</v>
      </c>
      <c r="I49" s="61" t="s">
        <v>424</v>
      </c>
      <c r="J49" s="30" t="s">
        <v>425</v>
      </c>
      <c r="K49" s="37"/>
      <c r="L49" s="29">
        <v>32160</v>
      </c>
      <c r="M49" s="62">
        <v>35.353424657534248</v>
      </c>
      <c r="N49" s="34" t="s">
        <v>23</v>
      </c>
      <c r="O49" s="35" t="s">
        <v>426</v>
      </c>
      <c r="P49" s="29" t="s">
        <v>24</v>
      </c>
      <c r="Q49" s="29" t="s">
        <v>427</v>
      </c>
      <c r="R49" s="29" t="s">
        <v>488</v>
      </c>
      <c r="S49" s="33"/>
      <c r="T49" s="29"/>
      <c r="U49" s="36"/>
      <c r="V49" s="177"/>
      <c r="W49" s="91"/>
      <c r="X49" s="92"/>
      <c r="Y49" s="93"/>
      <c r="Z49" s="149"/>
      <c r="AA49" s="146"/>
      <c r="AB49" s="157"/>
      <c r="AC49" s="220"/>
    </row>
    <row r="50" spans="1:29" ht="20.100000000000001" customHeight="1">
      <c r="A50" s="26">
        <v>49</v>
      </c>
      <c r="B50" s="27" t="s">
        <v>315</v>
      </c>
      <c r="C50" s="109">
        <v>333877306</v>
      </c>
      <c r="D50" s="28" t="s">
        <v>82</v>
      </c>
      <c r="E50" s="29" t="s">
        <v>261</v>
      </c>
      <c r="F50" s="49" t="s">
        <v>22</v>
      </c>
      <c r="G50" s="43" t="s">
        <v>16</v>
      </c>
      <c r="H50" s="49" t="s">
        <v>32</v>
      </c>
      <c r="I50" s="43" t="s">
        <v>366</v>
      </c>
      <c r="J50" s="39" t="s">
        <v>316</v>
      </c>
      <c r="K50" s="63" t="s">
        <v>16</v>
      </c>
      <c r="L50" s="29">
        <v>34231</v>
      </c>
      <c r="M50" s="29">
        <f ca="1">(TODAY()-L50)/365</f>
        <v>32.780821917808218</v>
      </c>
      <c r="N50" s="34" t="s">
        <v>23</v>
      </c>
      <c r="O50" s="35" t="s">
        <v>131</v>
      </c>
      <c r="P50" s="29" t="s">
        <v>24</v>
      </c>
      <c r="Q50" s="29" t="s">
        <v>317</v>
      </c>
      <c r="R50" s="29"/>
      <c r="S50" s="33"/>
      <c r="T50" s="29"/>
      <c r="U50" s="36"/>
      <c r="V50" s="177"/>
      <c r="W50" s="91"/>
      <c r="X50" s="92"/>
      <c r="Y50" s="93"/>
      <c r="Z50" s="149"/>
      <c r="AA50" s="146"/>
      <c r="AB50" s="157"/>
      <c r="AC50" s="220"/>
    </row>
    <row r="51" spans="1:29" ht="20.100000000000001" customHeight="1">
      <c r="A51" s="26">
        <v>50</v>
      </c>
      <c r="B51" s="27" t="s">
        <v>656</v>
      </c>
      <c r="C51" s="112">
        <v>40583288</v>
      </c>
      <c r="D51" s="28" t="s">
        <v>82</v>
      </c>
      <c r="E51" s="29" t="s">
        <v>684</v>
      </c>
      <c r="F51" s="39" t="s">
        <v>14</v>
      </c>
      <c r="G51" s="51" t="s">
        <v>365</v>
      </c>
      <c r="H51" s="39" t="s">
        <v>32</v>
      </c>
      <c r="I51" s="51" t="s">
        <v>141</v>
      </c>
      <c r="J51" s="39" t="s">
        <v>150</v>
      </c>
      <c r="K51" s="32"/>
      <c r="L51" s="29">
        <v>29508</v>
      </c>
      <c r="M51" s="44">
        <f ca="1">(TODAY()-L51)/365</f>
        <v>45.720547945205482</v>
      </c>
      <c r="N51" s="34"/>
      <c r="O51" s="35" t="s">
        <v>164</v>
      </c>
      <c r="P51" s="29" t="s">
        <v>21</v>
      </c>
      <c r="Q51" s="44" t="s">
        <v>150</v>
      </c>
      <c r="R51" s="44"/>
      <c r="S51" s="52"/>
      <c r="T51" s="29"/>
      <c r="U51" s="36"/>
      <c r="V51" s="177"/>
      <c r="W51" s="91"/>
      <c r="X51" s="92"/>
      <c r="Y51" s="93"/>
      <c r="Z51" s="149"/>
      <c r="AA51" s="146"/>
      <c r="AB51" s="157"/>
      <c r="AC51" s="220"/>
    </row>
    <row r="52" spans="1:29" ht="20.100000000000001" customHeight="1">
      <c r="A52" s="26">
        <v>51</v>
      </c>
      <c r="B52" s="27" t="s">
        <v>135</v>
      </c>
      <c r="C52" s="109">
        <v>305551020</v>
      </c>
      <c r="D52" s="28" t="s">
        <v>82</v>
      </c>
      <c r="E52" s="29" t="s">
        <v>262</v>
      </c>
      <c r="F52" s="30" t="s">
        <v>14</v>
      </c>
      <c r="G52" s="31"/>
      <c r="H52" s="30" t="s">
        <v>32</v>
      </c>
      <c r="I52" s="31" t="s">
        <v>142</v>
      </c>
      <c r="J52" s="30" t="s">
        <v>151</v>
      </c>
      <c r="K52" s="32" t="s">
        <v>156</v>
      </c>
      <c r="L52" s="29">
        <v>33267</v>
      </c>
      <c r="M52" s="29">
        <f ca="1">(TODAY()-L52)/365</f>
        <v>35.421917808219177</v>
      </c>
      <c r="N52" s="34"/>
      <c r="O52" s="35" t="s">
        <v>165</v>
      </c>
      <c r="P52" s="29" t="s">
        <v>157</v>
      </c>
      <c r="Q52" s="29" t="s">
        <v>166</v>
      </c>
      <c r="R52" s="29"/>
      <c r="S52" s="33"/>
      <c r="T52" s="29"/>
      <c r="U52" s="36"/>
      <c r="V52" s="177"/>
      <c r="W52" s="91"/>
      <c r="X52" s="92"/>
      <c r="Y52" s="93"/>
      <c r="Z52" s="149"/>
      <c r="AA52" s="146"/>
      <c r="AB52" s="157"/>
      <c r="AC52" s="220"/>
    </row>
    <row r="53" spans="1:29" ht="20.100000000000001" customHeight="1">
      <c r="A53" s="26">
        <v>52</v>
      </c>
      <c r="B53" s="27" t="s">
        <v>594</v>
      </c>
      <c r="C53" s="109">
        <v>32265092</v>
      </c>
      <c r="D53" s="64" t="s">
        <v>82</v>
      </c>
      <c r="E53" s="29" t="s">
        <v>684</v>
      </c>
      <c r="F53" s="30" t="s">
        <v>22</v>
      </c>
      <c r="G53" s="31"/>
      <c r="H53" s="30" t="s">
        <v>32</v>
      </c>
      <c r="I53" s="43" t="s">
        <v>334</v>
      </c>
      <c r="J53" s="39" t="s">
        <v>605</v>
      </c>
      <c r="K53" s="37"/>
      <c r="L53" s="29">
        <v>27444</v>
      </c>
      <c r="M53" s="29">
        <f ca="1">(TODAY()-L53)/365</f>
        <v>51.375342465753427</v>
      </c>
      <c r="N53" s="34" t="s">
        <v>144</v>
      </c>
      <c r="O53" s="35"/>
      <c r="P53" s="29"/>
      <c r="Q53" s="29"/>
      <c r="R53" s="29" t="s">
        <v>709</v>
      </c>
      <c r="S53" s="33"/>
      <c r="T53" s="29"/>
      <c r="U53" s="36"/>
      <c r="V53" s="177"/>
      <c r="W53" s="91"/>
      <c r="X53" s="92"/>
      <c r="Y53" s="93"/>
      <c r="Z53" s="149"/>
      <c r="AA53" s="146"/>
      <c r="AB53" s="157"/>
      <c r="AC53" s="220"/>
    </row>
    <row r="54" spans="1:29" ht="20.100000000000001" customHeight="1">
      <c r="A54" s="26">
        <v>53</v>
      </c>
      <c r="B54" s="27" t="s">
        <v>379</v>
      </c>
      <c r="C54" s="109">
        <v>309593390</v>
      </c>
      <c r="D54" s="64" t="s">
        <v>82</v>
      </c>
      <c r="E54" s="29"/>
      <c r="F54" s="30" t="s">
        <v>14</v>
      </c>
      <c r="G54" s="31"/>
      <c r="H54" s="30" t="s">
        <v>32</v>
      </c>
      <c r="I54" s="43" t="s">
        <v>243</v>
      </c>
      <c r="J54" s="30" t="s">
        <v>289</v>
      </c>
      <c r="K54" s="37"/>
      <c r="L54" s="29">
        <v>30927</v>
      </c>
      <c r="M54" s="29">
        <v>38.731506849315068</v>
      </c>
      <c r="N54" s="34" t="s">
        <v>18</v>
      </c>
      <c r="O54" s="35" t="s">
        <v>107</v>
      </c>
      <c r="P54" s="29" t="s">
        <v>24</v>
      </c>
      <c r="Q54" s="29" t="s">
        <v>272</v>
      </c>
      <c r="R54" s="29" t="s">
        <v>539</v>
      </c>
      <c r="S54" s="33"/>
      <c r="T54" s="29"/>
      <c r="U54" s="36"/>
      <c r="V54" s="177"/>
      <c r="W54" s="91"/>
      <c r="X54" s="92"/>
      <c r="Y54" s="93"/>
      <c r="Z54" s="149"/>
      <c r="AA54" s="146"/>
      <c r="AB54" s="157"/>
      <c r="AC54" s="220"/>
    </row>
    <row r="55" spans="1:29" ht="20.100000000000001" customHeight="1">
      <c r="A55" s="26">
        <v>54</v>
      </c>
      <c r="B55" s="27" t="s">
        <v>627</v>
      </c>
      <c r="C55" s="109">
        <v>328819172</v>
      </c>
      <c r="D55" s="64" t="s">
        <v>82</v>
      </c>
      <c r="E55" s="29" t="s">
        <v>684</v>
      </c>
      <c r="F55" s="39" t="s">
        <v>22</v>
      </c>
      <c r="G55" s="51"/>
      <c r="H55" s="39" t="s">
        <v>32</v>
      </c>
      <c r="I55" s="31" t="s">
        <v>628</v>
      </c>
      <c r="J55" s="30" t="s">
        <v>626</v>
      </c>
      <c r="K55" s="37"/>
      <c r="L55" s="29">
        <v>38354</v>
      </c>
      <c r="M55" s="29">
        <f ca="1">(TODAY()-L55)/365</f>
        <v>21.484931506849314</v>
      </c>
      <c r="N55" s="34" t="s">
        <v>23</v>
      </c>
      <c r="O55" s="35" t="s">
        <v>630</v>
      </c>
      <c r="P55" s="29" t="s">
        <v>24</v>
      </c>
      <c r="Q55" s="29" t="s">
        <v>629</v>
      </c>
      <c r="R55" s="29"/>
      <c r="S55" s="33"/>
      <c r="T55" s="29"/>
      <c r="U55" s="36"/>
      <c r="V55" s="177"/>
      <c r="W55" s="91"/>
      <c r="X55" s="92"/>
      <c r="Y55" s="93"/>
      <c r="Z55" s="149"/>
      <c r="AA55" s="146"/>
      <c r="AB55" s="157"/>
      <c r="AC55" s="220"/>
    </row>
    <row r="56" spans="1:29" ht="20.100000000000001" customHeight="1">
      <c r="A56" s="26">
        <v>55</v>
      </c>
      <c r="B56" s="27" t="s">
        <v>173</v>
      </c>
      <c r="C56" s="109">
        <v>303824619</v>
      </c>
      <c r="D56" s="28" t="s">
        <v>82</v>
      </c>
      <c r="E56" s="29" t="s">
        <v>260</v>
      </c>
      <c r="F56" s="30" t="s">
        <v>22</v>
      </c>
      <c r="G56" s="31"/>
      <c r="H56" s="30" t="s">
        <v>32</v>
      </c>
      <c r="I56" s="31" t="s">
        <v>189</v>
      </c>
      <c r="J56" s="30" t="s">
        <v>370</v>
      </c>
      <c r="K56" s="37"/>
      <c r="L56" s="29">
        <v>27395</v>
      </c>
      <c r="M56" s="29">
        <f ca="1">(TODAY()-L56)/365</f>
        <v>51.509589041095893</v>
      </c>
      <c r="N56" s="34" t="s">
        <v>20</v>
      </c>
      <c r="O56" s="35" t="s">
        <v>352</v>
      </c>
      <c r="P56" s="29" t="s">
        <v>158</v>
      </c>
      <c r="Q56" s="29" t="s">
        <v>351</v>
      </c>
      <c r="R56" s="29"/>
      <c r="S56" s="65"/>
      <c r="T56" s="29"/>
      <c r="U56" s="36"/>
      <c r="V56" s="188"/>
      <c r="W56" s="91"/>
      <c r="X56" s="92"/>
      <c r="Y56" s="93"/>
      <c r="Z56" s="149"/>
      <c r="AA56" s="146"/>
      <c r="AB56" s="157"/>
      <c r="AC56" s="220"/>
    </row>
    <row r="57" spans="1:29" ht="20.100000000000001" customHeight="1">
      <c r="A57" s="26">
        <v>56</v>
      </c>
      <c r="B57" s="27" t="s">
        <v>685</v>
      </c>
      <c r="C57" s="109">
        <v>39223458</v>
      </c>
      <c r="D57" s="28" t="s">
        <v>82</v>
      </c>
      <c r="E57" s="29" t="s">
        <v>506</v>
      </c>
      <c r="F57" s="30" t="s">
        <v>22</v>
      </c>
      <c r="G57" s="31"/>
      <c r="H57" s="30" t="s">
        <v>32</v>
      </c>
      <c r="I57" s="31" t="s">
        <v>433</v>
      </c>
      <c r="J57" s="30" t="s">
        <v>434</v>
      </c>
      <c r="K57" s="37"/>
      <c r="L57" s="29">
        <v>30411</v>
      </c>
      <c r="M57" s="29">
        <v>40.145205479452052</v>
      </c>
      <c r="N57" s="34" t="s">
        <v>20</v>
      </c>
      <c r="O57" s="35" t="s">
        <v>435</v>
      </c>
      <c r="P57" s="29" t="s">
        <v>26</v>
      </c>
      <c r="Q57" s="66" t="s">
        <v>436</v>
      </c>
      <c r="R57" s="29"/>
      <c r="S57" s="33"/>
      <c r="T57" s="29"/>
      <c r="U57" s="36"/>
      <c r="V57" s="177"/>
      <c r="W57" s="91"/>
      <c r="X57" s="92"/>
      <c r="Y57" s="93"/>
      <c r="Z57" s="149"/>
      <c r="AA57" s="146"/>
      <c r="AB57" s="157"/>
      <c r="AC57" s="220"/>
    </row>
    <row r="58" spans="1:29" ht="20.100000000000001" customHeight="1">
      <c r="A58" s="26">
        <v>57</v>
      </c>
      <c r="B58" s="27" t="s">
        <v>685</v>
      </c>
      <c r="C58" s="109">
        <v>39223458</v>
      </c>
      <c r="D58" s="28" t="s">
        <v>82</v>
      </c>
      <c r="E58" s="29"/>
      <c r="F58" s="30" t="s">
        <v>22</v>
      </c>
      <c r="G58" s="31"/>
      <c r="H58" s="30" t="s">
        <v>32</v>
      </c>
      <c r="I58" s="31" t="s">
        <v>433</v>
      </c>
      <c r="J58" s="30" t="s">
        <v>434</v>
      </c>
      <c r="K58" s="37"/>
      <c r="L58" s="29">
        <v>30411</v>
      </c>
      <c r="M58" s="29">
        <f ca="1">(TODAY()-L58)/365</f>
        <v>43.246575342465754</v>
      </c>
      <c r="N58" s="34" t="s">
        <v>20</v>
      </c>
      <c r="O58" s="35" t="s">
        <v>686</v>
      </c>
      <c r="P58" s="29" t="s">
        <v>26</v>
      </c>
      <c r="Q58" s="29" t="s">
        <v>436</v>
      </c>
      <c r="R58" s="29"/>
      <c r="S58" s="33"/>
      <c r="T58" s="29"/>
      <c r="U58" s="36"/>
      <c r="V58" s="177"/>
      <c r="W58" s="91"/>
      <c r="X58" s="92"/>
      <c r="Y58" s="93"/>
      <c r="Z58" s="149"/>
      <c r="AA58" s="146"/>
      <c r="AB58" s="157"/>
      <c r="AC58" s="220"/>
    </row>
    <row r="59" spans="1:29" ht="20.100000000000001" customHeight="1">
      <c r="A59" s="26">
        <v>58</v>
      </c>
      <c r="B59" s="143" t="s">
        <v>482</v>
      </c>
      <c r="C59" s="187">
        <v>308885490</v>
      </c>
      <c r="D59" s="28" t="s">
        <v>82</v>
      </c>
      <c r="E59" s="29" t="s">
        <v>261</v>
      </c>
      <c r="F59" s="49" t="s">
        <v>22</v>
      </c>
      <c r="G59" s="43" t="s">
        <v>16</v>
      </c>
      <c r="H59" s="49" t="s">
        <v>32</v>
      </c>
      <c r="I59" s="43" t="s">
        <v>75</v>
      </c>
      <c r="J59" s="39" t="s">
        <v>76</v>
      </c>
      <c r="K59" s="37" t="s">
        <v>16</v>
      </c>
      <c r="L59" s="44">
        <v>21222</v>
      </c>
      <c r="M59" s="29">
        <v>67.476712328767121</v>
      </c>
      <c r="N59" s="34" t="s">
        <v>20</v>
      </c>
      <c r="O59" s="35" t="s">
        <v>77</v>
      </c>
      <c r="P59" s="29" t="s">
        <v>18</v>
      </c>
      <c r="Q59" s="29" t="s">
        <v>404</v>
      </c>
      <c r="R59" s="29"/>
      <c r="S59" s="33"/>
      <c r="T59" s="29"/>
      <c r="U59" s="36"/>
      <c r="V59" s="177"/>
      <c r="W59" s="91"/>
      <c r="X59" s="92"/>
      <c r="Y59" s="93"/>
      <c r="Z59" s="149"/>
      <c r="AA59" s="146"/>
      <c r="AB59" s="157"/>
      <c r="AC59" s="220"/>
    </row>
    <row r="60" spans="1:29" ht="20.100000000000001" customHeight="1">
      <c r="A60" s="26">
        <v>59</v>
      </c>
      <c r="B60" s="27" t="s">
        <v>136</v>
      </c>
      <c r="C60" s="109">
        <v>323504654</v>
      </c>
      <c r="D60" s="28" t="s">
        <v>82</v>
      </c>
      <c r="E60" s="29" t="s">
        <v>262</v>
      </c>
      <c r="F60" s="30" t="s">
        <v>14</v>
      </c>
      <c r="G60" s="31"/>
      <c r="H60" s="30" t="s">
        <v>572</v>
      </c>
      <c r="I60" s="51" t="s">
        <v>311</v>
      </c>
      <c r="J60" s="30" t="s">
        <v>152</v>
      </c>
      <c r="K60" s="37"/>
      <c r="L60" s="29">
        <v>32412</v>
      </c>
      <c r="M60" s="29">
        <f ca="1">(TODAY()-L60)/365</f>
        <v>37.764383561643832</v>
      </c>
      <c r="N60" s="34" t="s">
        <v>23</v>
      </c>
      <c r="O60" s="35" t="s">
        <v>167</v>
      </c>
      <c r="P60" s="29" t="s">
        <v>21</v>
      </c>
      <c r="Q60" s="29" t="s">
        <v>168</v>
      </c>
      <c r="R60" s="29"/>
      <c r="S60" s="33"/>
      <c r="T60" s="29"/>
      <c r="U60" s="36"/>
      <c r="V60" s="177"/>
      <c r="W60" s="91"/>
      <c r="X60" s="92"/>
      <c r="Y60" s="93"/>
      <c r="Z60" s="149"/>
      <c r="AA60" s="146"/>
      <c r="AB60" s="157"/>
      <c r="AC60" s="220"/>
    </row>
    <row r="61" spans="1:29" ht="20.100000000000001" customHeight="1">
      <c r="A61" s="26">
        <v>60</v>
      </c>
      <c r="B61" s="27" t="s">
        <v>615</v>
      </c>
      <c r="C61" s="109">
        <v>307160507</v>
      </c>
      <c r="D61" s="28" t="s">
        <v>82</v>
      </c>
      <c r="E61" s="29" t="s">
        <v>574</v>
      </c>
      <c r="F61" s="39" t="s">
        <v>14</v>
      </c>
      <c r="G61" s="51" t="s">
        <v>616</v>
      </c>
      <c r="H61" s="39" t="s">
        <v>32</v>
      </c>
      <c r="I61" s="31" t="s">
        <v>617</v>
      </c>
      <c r="J61" s="30" t="s">
        <v>16</v>
      </c>
      <c r="K61" s="32"/>
      <c r="L61" s="29">
        <v>26485</v>
      </c>
      <c r="M61" s="29">
        <f ca="1">IF(L61=0,0,(TODAY()-L61)/365)</f>
        <v>54.0027397260274</v>
      </c>
      <c r="N61" s="34" t="s">
        <v>23</v>
      </c>
      <c r="O61" s="35" t="s">
        <v>46</v>
      </c>
      <c r="P61" s="29" t="s">
        <v>47</v>
      </c>
      <c r="Q61" s="29" t="s">
        <v>641</v>
      </c>
      <c r="R61" s="29"/>
      <c r="S61" s="33"/>
      <c r="T61" s="29"/>
      <c r="U61" s="36"/>
      <c r="V61" s="177"/>
      <c r="W61" s="91"/>
      <c r="X61" s="92"/>
      <c r="Y61" s="93"/>
      <c r="Z61" s="149"/>
      <c r="AA61" s="146"/>
      <c r="AB61" s="157"/>
      <c r="AC61" s="220"/>
    </row>
    <row r="62" spans="1:29" ht="20.100000000000001" customHeight="1">
      <c r="A62" s="26">
        <v>61</v>
      </c>
      <c r="B62" s="27" t="s">
        <v>381</v>
      </c>
      <c r="C62" s="109">
        <v>316776152</v>
      </c>
      <c r="D62" s="27" t="s">
        <v>82</v>
      </c>
      <c r="E62" s="29" t="s">
        <v>260</v>
      </c>
      <c r="F62" s="30" t="s">
        <v>22</v>
      </c>
      <c r="G62" s="31" t="s">
        <v>90</v>
      </c>
      <c r="H62" s="30" t="s">
        <v>32</v>
      </c>
      <c r="I62" s="31" t="s">
        <v>388</v>
      </c>
      <c r="J62" s="30" t="s">
        <v>343</v>
      </c>
      <c r="K62" s="37"/>
      <c r="L62" s="29">
        <v>32638</v>
      </c>
      <c r="M62" s="29">
        <v>35.969863013698628</v>
      </c>
      <c r="N62" s="34" t="s">
        <v>23</v>
      </c>
      <c r="O62" s="35" t="s">
        <v>320</v>
      </c>
      <c r="P62" s="44" t="s">
        <v>24</v>
      </c>
      <c r="Q62" s="29" t="s">
        <v>344</v>
      </c>
      <c r="R62" s="29"/>
      <c r="S62" s="70"/>
      <c r="T62" s="71"/>
      <c r="U62" s="36"/>
      <c r="V62" s="177"/>
      <c r="W62" s="91"/>
      <c r="X62" s="92"/>
      <c r="Y62" s="93"/>
      <c r="Z62" s="149"/>
      <c r="AA62" s="146"/>
      <c r="AB62" s="157"/>
      <c r="AC62" s="220"/>
    </row>
    <row r="63" spans="1:29" ht="20.100000000000001" customHeight="1">
      <c r="A63" s="26">
        <v>62</v>
      </c>
      <c r="B63" s="27" t="s">
        <v>830</v>
      </c>
      <c r="C63" s="109">
        <v>211464433</v>
      </c>
      <c r="D63" s="28" t="s">
        <v>82</v>
      </c>
      <c r="E63" s="29" t="s">
        <v>261</v>
      </c>
      <c r="F63" s="30" t="s">
        <v>14</v>
      </c>
      <c r="G63" s="31"/>
      <c r="H63" s="30" t="s">
        <v>32</v>
      </c>
      <c r="I63" s="31" t="s">
        <v>831</v>
      </c>
      <c r="J63" s="30" t="s">
        <v>832</v>
      </c>
      <c r="K63" s="37"/>
      <c r="L63" s="29">
        <v>36700</v>
      </c>
      <c r="M63" s="29">
        <f ca="1">(TODAY()-L63)/365</f>
        <v>26.016438356164382</v>
      </c>
      <c r="N63" s="34" t="s">
        <v>144</v>
      </c>
      <c r="O63" s="35" t="s">
        <v>144</v>
      </c>
      <c r="P63" s="29"/>
      <c r="Q63" s="29" t="s">
        <v>829</v>
      </c>
      <c r="R63" s="29" t="s">
        <v>834</v>
      </c>
      <c r="S63" s="33" t="s">
        <v>833</v>
      </c>
      <c r="T63" s="29"/>
      <c r="U63" s="36"/>
      <c r="V63" s="177"/>
      <c r="W63" s="91"/>
      <c r="X63" s="92"/>
      <c r="Y63" s="93"/>
      <c r="Z63" s="149"/>
      <c r="AA63" s="146"/>
      <c r="AB63" s="157"/>
      <c r="AC63" s="220"/>
    </row>
    <row r="64" spans="1:29" ht="20.100000000000001" customHeight="1">
      <c r="A64" s="26">
        <v>63</v>
      </c>
      <c r="B64" s="27" t="s">
        <v>380</v>
      </c>
      <c r="C64" s="109">
        <v>59686147</v>
      </c>
      <c r="D64" s="28" t="s">
        <v>82</v>
      </c>
      <c r="E64" s="29" t="s">
        <v>574</v>
      </c>
      <c r="F64" s="30" t="s">
        <v>14</v>
      </c>
      <c r="G64" s="31"/>
      <c r="H64" s="30" t="s">
        <v>32</v>
      </c>
      <c r="I64" s="31" t="s">
        <v>334</v>
      </c>
      <c r="J64" s="30" t="s">
        <v>406</v>
      </c>
      <c r="K64" s="37"/>
      <c r="L64" s="29">
        <v>23875</v>
      </c>
      <c r="M64" s="29">
        <v>60.347945205479455</v>
      </c>
      <c r="N64" s="34" t="s">
        <v>144</v>
      </c>
      <c r="O64" s="35" t="s">
        <v>107</v>
      </c>
      <c r="P64" s="29" t="s">
        <v>345</v>
      </c>
      <c r="Q64" s="29" t="s">
        <v>271</v>
      </c>
      <c r="R64" s="29"/>
      <c r="S64" s="33"/>
      <c r="T64" s="29"/>
      <c r="U64" s="36"/>
      <c r="V64" s="177"/>
      <c r="W64" s="91"/>
      <c r="X64" s="92"/>
      <c r="Y64" s="93"/>
      <c r="Z64" s="149"/>
      <c r="AA64" s="146"/>
      <c r="AB64" s="157"/>
      <c r="AC64" s="220"/>
    </row>
    <row r="65" spans="1:29" ht="20.100000000000001" customHeight="1">
      <c r="A65" s="26">
        <v>64</v>
      </c>
      <c r="B65" s="27" t="s">
        <v>842</v>
      </c>
      <c r="C65" s="109">
        <v>312399751</v>
      </c>
      <c r="D65" s="28" t="s">
        <v>82</v>
      </c>
      <c r="E65" s="29" t="s">
        <v>684</v>
      </c>
      <c r="F65" s="39" t="s">
        <v>14</v>
      </c>
      <c r="G65" s="51"/>
      <c r="H65" s="39" t="s">
        <v>32</v>
      </c>
      <c r="I65" s="31" t="s">
        <v>827</v>
      </c>
      <c r="J65" s="30" t="s">
        <v>829</v>
      </c>
      <c r="K65" s="37"/>
      <c r="L65" s="29">
        <v>38712</v>
      </c>
      <c r="M65" s="29">
        <f t="shared" ref="M65" ca="1" si="1">(TODAY()-L65)/365</f>
        <v>20.504109589041096</v>
      </c>
      <c r="N65" s="34"/>
      <c r="O65" s="35"/>
      <c r="P65" s="29"/>
      <c r="Q65" s="29"/>
      <c r="R65" s="29" t="s">
        <v>855</v>
      </c>
      <c r="S65" s="33" t="s">
        <v>856</v>
      </c>
      <c r="T65" s="29"/>
      <c r="U65" s="36"/>
      <c r="V65" s="177"/>
      <c r="W65" s="91"/>
      <c r="X65" s="92"/>
      <c r="Y65" s="93"/>
      <c r="Z65" s="149"/>
      <c r="AA65" s="146"/>
      <c r="AB65" s="157"/>
      <c r="AC65" s="220"/>
    </row>
    <row r="66" spans="1:29" ht="20.100000000000001" customHeight="1">
      <c r="A66" s="26">
        <v>65</v>
      </c>
      <c r="B66" s="27" t="s">
        <v>640</v>
      </c>
      <c r="C66" s="109">
        <v>314088469</v>
      </c>
      <c r="D66" s="27" t="s">
        <v>82</v>
      </c>
      <c r="E66" s="29" t="s">
        <v>260</v>
      </c>
      <c r="F66" s="39" t="s">
        <v>22</v>
      </c>
      <c r="G66" s="51" t="s">
        <v>1006</v>
      </c>
      <c r="H66" s="39" t="s">
        <v>997</v>
      </c>
      <c r="I66" s="51"/>
      <c r="J66" s="39" t="s">
        <v>32</v>
      </c>
      <c r="K66" s="58" t="s">
        <v>874</v>
      </c>
      <c r="L66" s="44">
        <v>30200</v>
      </c>
      <c r="M66" s="44"/>
      <c r="N66" s="34" t="s">
        <v>663</v>
      </c>
      <c r="O66" s="35">
        <v>43.695890410958903</v>
      </c>
      <c r="P66" s="44" t="s">
        <v>20</v>
      </c>
      <c r="Q66" s="44" t="s">
        <v>875</v>
      </c>
      <c r="R66" s="29" t="s">
        <v>24</v>
      </c>
      <c r="S66" s="52" t="s">
        <v>876</v>
      </c>
      <c r="T66" s="29" t="s">
        <v>877</v>
      </c>
      <c r="U66" s="55" t="s">
        <v>878</v>
      </c>
      <c r="V66" s="179"/>
      <c r="W66" s="91" t="s">
        <v>903</v>
      </c>
      <c r="X66" s="92"/>
      <c r="Y66" s="93"/>
      <c r="Z66" s="149"/>
      <c r="AA66" s="146"/>
      <c r="AB66" s="157"/>
      <c r="AC66" s="220">
        <v>46143</v>
      </c>
    </row>
    <row r="67" spans="1:29" ht="20.100000000000001" customHeight="1">
      <c r="A67" s="26">
        <v>66</v>
      </c>
      <c r="B67" s="27" t="s">
        <v>210</v>
      </c>
      <c r="C67" s="109">
        <v>22622757</v>
      </c>
      <c r="D67" s="28" t="s">
        <v>82</v>
      </c>
      <c r="E67" s="29" t="s">
        <v>574</v>
      </c>
      <c r="F67" s="30" t="s">
        <v>14</v>
      </c>
      <c r="G67" s="31" t="s">
        <v>1003</v>
      </c>
      <c r="H67" s="30" t="s">
        <v>920</v>
      </c>
      <c r="I67" s="31"/>
      <c r="J67" s="30" t="s">
        <v>32</v>
      </c>
      <c r="K67" s="37" t="s">
        <v>362</v>
      </c>
      <c r="L67" s="29">
        <v>24299</v>
      </c>
      <c r="M67" s="29"/>
      <c r="N67" s="34" t="s">
        <v>284</v>
      </c>
      <c r="O67" s="35">
        <f ca="1">(TODAY()-L67)/365</f>
        <v>59.991780821917807</v>
      </c>
      <c r="P67" s="29" t="s">
        <v>217</v>
      </c>
      <c r="Q67" s="29" t="s">
        <v>222</v>
      </c>
      <c r="R67" s="29" t="s">
        <v>223</v>
      </c>
      <c r="S67" s="33" t="s">
        <v>419</v>
      </c>
      <c r="T67" s="29" t="s">
        <v>845</v>
      </c>
      <c r="U67" s="36" t="s">
        <v>846</v>
      </c>
      <c r="V67" s="177"/>
      <c r="W67" s="91"/>
      <c r="X67" s="92" t="s">
        <v>903</v>
      </c>
      <c r="Y67" s="93"/>
      <c r="Z67" s="149"/>
      <c r="AA67" s="146"/>
      <c r="AB67" s="157"/>
      <c r="AC67" s="220">
        <v>46174</v>
      </c>
    </row>
    <row r="68" spans="1:29" ht="20.100000000000001" customHeight="1">
      <c r="A68" s="26">
        <v>67</v>
      </c>
      <c r="B68" s="27" t="s">
        <v>824</v>
      </c>
      <c r="C68" s="109">
        <v>213083223</v>
      </c>
      <c r="D68" s="28" t="s">
        <v>82</v>
      </c>
      <c r="E68" s="29" t="s">
        <v>684</v>
      </c>
      <c r="F68" s="39" t="s">
        <v>14</v>
      </c>
      <c r="G68" s="51" t="s">
        <v>1007</v>
      </c>
      <c r="H68" s="39" t="s">
        <v>1008</v>
      </c>
      <c r="I68" s="51"/>
      <c r="J68" s="39" t="s">
        <v>32</v>
      </c>
      <c r="K68" s="58" t="s">
        <v>827</v>
      </c>
      <c r="L68" s="44">
        <v>37906</v>
      </c>
      <c r="M68" s="44"/>
      <c r="N68" s="34" t="s">
        <v>825</v>
      </c>
      <c r="O68" s="35">
        <f ca="1">(TODAY()-L68)/365</f>
        <v>22.712328767123289</v>
      </c>
      <c r="P68" s="44" t="s">
        <v>144</v>
      </c>
      <c r="Q68" s="44" t="s">
        <v>826</v>
      </c>
      <c r="R68" s="44" t="s">
        <v>46</v>
      </c>
      <c r="S68" s="52" t="s">
        <v>828</v>
      </c>
      <c r="T68" s="44" t="s">
        <v>1070</v>
      </c>
      <c r="U68" s="53" t="s">
        <v>887</v>
      </c>
      <c r="V68" s="177"/>
      <c r="W68" s="91" t="s">
        <v>903</v>
      </c>
      <c r="X68" s="92"/>
      <c r="Y68" s="93"/>
      <c r="Z68" s="149"/>
      <c r="AA68" s="146"/>
      <c r="AB68" s="157"/>
      <c r="AC68" s="220">
        <v>46143</v>
      </c>
    </row>
    <row r="69" spans="1:29" ht="20.100000000000001" customHeight="1">
      <c r="A69" s="26">
        <v>68</v>
      </c>
      <c r="B69" s="27"/>
      <c r="C69" s="109"/>
      <c r="D69" s="27"/>
      <c r="E69" s="29"/>
      <c r="F69" s="49"/>
      <c r="G69" s="43"/>
      <c r="H69" s="49"/>
      <c r="I69" s="43"/>
      <c r="J69" s="39"/>
      <c r="K69" s="37"/>
      <c r="L69" s="29"/>
      <c r="M69" s="29"/>
      <c r="N69" s="34"/>
      <c r="O69" s="35"/>
      <c r="P69" s="29"/>
      <c r="Q69" s="29"/>
      <c r="R69" s="29"/>
      <c r="S69" s="52"/>
      <c r="T69" s="29"/>
      <c r="U69" s="36"/>
      <c r="V69" s="177"/>
      <c r="W69" s="91"/>
      <c r="X69" s="92"/>
      <c r="Y69" s="93"/>
      <c r="Z69" s="149"/>
      <c r="AA69" s="146"/>
      <c r="AB69" s="157"/>
      <c r="AC69" s="220"/>
    </row>
    <row r="70" spans="1:29" ht="20.100000000000001" customHeight="1">
      <c r="A70" s="26">
        <v>69</v>
      </c>
      <c r="B70" s="27"/>
      <c r="C70" s="109"/>
      <c r="D70" s="27"/>
      <c r="E70" s="29"/>
      <c r="F70" s="49"/>
      <c r="G70" s="43"/>
      <c r="H70" s="49"/>
      <c r="I70" s="43"/>
      <c r="J70" s="39"/>
      <c r="K70" s="37"/>
      <c r="L70" s="29"/>
      <c r="M70" s="29"/>
      <c r="N70" s="34"/>
      <c r="O70" s="35"/>
      <c r="P70" s="29"/>
      <c r="Q70" s="29"/>
      <c r="R70" s="29"/>
      <c r="S70" s="33"/>
      <c r="T70" s="29"/>
      <c r="U70" s="36"/>
      <c r="V70" s="177"/>
      <c r="W70" s="91"/>
      <c r="X70" s="92"/>
      <c r="Y70" s="93"/>
      <c r="Z70" s="149"/>
      <c r="AA70" s="146"/>
      <c r="AB70" s="157"/>
      <c r="AC70" s="220"/>
    </row>
    <row r="71" spans="1:29" ht="20.100000000000001" customHeight="1">
      <c r="A71" s="26">
        <v>70</v>
      </c>
      <c r="B71" s="27"/>
      <c r="C71" s="109"/>
      <c r="D71" s="27"/>
      <c r="E71" s="29"/>
      <c r="F71" s="49"/>
      <c r="G71" s="43"/>
      <c r="H71" s="49"/>
      <c r="I71" s="31"/>
      <c r="J71" s="39"/>
      <c r="K71" s="37"/>
      <c r="L71" s="29"/>
      <c r="M71" s="29"/>
      <c r="N71" s="34"/>
      <c r="O71" s="35"/>
      <c r="P71" s="29"/>
      <c r="Q71" s="29"/>
      <c r="R71" s="29"/>
      <c r="S71" s="33"/>
      <c r="T71" s="29"/>
      <c r="U71" s="55"/>
      <c r="V71" s="179"/>
      <c r="W71" s="91"/>
      <c r="X71" s="92"/>
      <c r="Y71" s="93"/>
      <c r="Z71" s="149"/>
      <c r="AA71" s="146"/>
      <c r="AB71" s="157"/>
      <c r="AC71" s="220"/>
    </row>
    <row r="72" spans="1:29" ht="20.100000000000001" customHeight="1">
      <c r="A72" s="26">
        <v>71</v>
      </c>
      <c r="B72" s="27"/>
      <c r="C72" s="109"/>
      <c r="D72" s="28"/>
      <c r="E72" s="29"/>
      <c r="F72" s="39"/>
      <c r="G72" s="51"/>
      <c r="H72" s="39"/>
      <c r="I72" s="31"/>
      <c r="J72" s="30"/>
      <c r="K72" s="37"/>
      <c r="L72" s="29"/>
      <c r="M72" s="29"/>
      <c r="N72" s="34"/>
      <c r="O72" s="35"/>
      <c r="P72" s="29"/>
      <c r="Q72" s="29"/>
      <c r="R72" s="29"/>
      <c r="S72" s="33"/>
      <c r="T72" s="29"/>
      <c r="U72" s="36"/>
      <c r="V72" s="177"/>
      <c r="W72" s="91"/>
      <c r="X72" s="92"/>
      <c r="Y72" s="93"/>
      <c r="Z72" s="149"/>
      <c r="AA72" s="146"/>
      <c r="AB72" s="157"/>
      <c r="AC72" s="220"/>
    </row>
    <row r="73" spans="1:29" ht="20.100000000000001" customHeight="1">
      <c r="A73" s="26">
        <v>72</v>
      </c>
      <c r="B73" s="27"/>
      <c r="C73" s="109"/>
      <c r="D73" s="28"/>
      <c r="E73" s="29"/>
      <c r="F73" s="30"/>
      <c r="G73" s="31"/>
      <c r="H73" s="30"/>
      <c r="I73" s="31"/>
      <c r="J73" s="30"/>
      <c r="K73" s="37"/>
      <c r="L73" s="29"/>
      <c r="M73" s="29"/>
      <c r="N73" s="34"/>
      <c r="O73" s="35"/>
      <c r="P73" s="29"/>
      <c r="Q73" s="29"/>
      <c r="R73" s="29"/>
      <c r="S73" s="33"/>
      <c r="T73" s="29"/>
      <c r="U73" s="55"/>
      <c r="V73" s="179"/>
      <c r="W73" s="91"/>
      <c r="X73" s="92"/>
      <c r="Y73" s="93"/>
      <c r="Z73" s="149"/>
      <c r="AA73" s="146"/>
      <c r="AB73" s="157"/>
      <c r="AC73" s="220"/>
    </row>
    <row r="74" spans="1:29" ht="20.100000000000001" customHeight="1">
      <c r="A74" s="26">
        <v>73</v>
      </c>
      <c r="B74" s="27"/>
      <c r="C74" s="109"/>
      <c r="D74" s="28"/>
      <c r="E74" s="29"/>
      <c r="F74" s="39"/>
      <c r="G74" s="51"/>
      <c r="H74" s="39"/>
      <c r="I74" s="31"/>
      <c r="J74" s="30"/>
      <c r="K74" s="67"/>
      <c r="L74" s="29"/>
      <c r="M74" s="29"/>
      <c r="N74" s="34"/>
      <c r="O74" s="35"/>
      <c r="P74" s="29"/>
      <c r="Q74" s="29"/>
      <c r="R74" s="29"/>
      <c r="S74" s="29"/>
      <c r="T74" s="107"/>
      <c r="U74" s="36"/>
      <c r="V74" s="177"/>
      <c r="W74" s="91"/>
      <c r="X74" s="92"/>
      <c r="Y74" s="93"/>
      <c r="Z74" s="149"/>
      <c r="AA74" s="146"/>
      <c r="AB74" s="157"/>
      <c r="AC74" s="220"/>
    </row>
    <row r="75" spans="1:29" ht="20.100000000000001" customHeight="1">
      <c r="A75" s="26">
        <v>74</v>
      </c>
      <c r="B75" s="27"/>
      <c r="C75" s="109"/>
      <c r="D75" s="28"/>
      <c r="E75" s="29"/>
      <c r="F75" s="30"/>
      <c r="G75" s="31"/>
      <c r="H75" s="30"/>
      <c r="I75" s="31"/>
      <c r="J75" s="30"/>
      <c r="K75" s="37"/>
      <c r="L75" s="29"/>
      <c r="M75" s="29"/>
      <c r="N75" s="34"/>
      <c r="O75" s="35"/>
      <c r="P75" s="29"/>
      <c r="Q75" s="29"/>
      <c r="R75" s="29"/>
      <c r="S75" s="33"/>
      <c r="T75" s="37"/>
      <c r="U75" s="36"/>
      <c r="V75" s="177"/>
      <c r="W75" s="91"/>
      <c r="X75" s="92"/>
      <c r="Y75" s="93"/>
      <c r="Z75" s="149"/>
      <c r="AA75" s="146"/>
      <c r="AB75" s="157"/>
      <c r="AC75" s="220"/>
    </row>
    <row r="76" spans="1:29" ht="20.100000000000001" customHeight="1">
      <c r="A76" s="26">
        <v>75</v>
      </c>
      <c r="B76" s="27"/>
      <c r="C76" s="109"/>
      <c r="D76" s="27"/>
      <c r="E76" s="29"/>
      <c r="F76" s="49"/>
      <c r="G76" s="43"/>
      <c r="H76" s="49"/>
      <c r="I76" s="185"/>
      <c r="J76" s="39"/>
      <c r="K76" s="37"/>
      <c r="L76" s="44"/>
      <c r="M76" s="44"/>
      <c r="N76" s="34"/>
      <c r="O76" s="35"/>
      <c r="P76" s="44"/>
      <c r="Q76" s="44"/>
      <c r="R76" s="44"/>
      <c r="S76" s="52"/>
      <c r="T76" s="29"/>
      <c r="U76" s="36"/>
      <c r="V76" s="177"/>
      <c r="W76" s="91"/>
      <c r="X76" s="92"/>
      <c r="Y76" s="93"/>
      <c r="Z76" s="149"/>
      <c r="AA76" s="146"/>
      <c r="AB76" s="157"/>
      <c r="AC76" s="220"/>
    </row>
    <row r="77" spans="1:29" ht="20.100000000000001" customHeight="1">
      <c r="A77" s="26">
        <v>76</v>
      </c>
      <c r="B77" s="27"/>
      <c r="C77" s="109"/>
      <c r="D77" s="57"/>
      <c r="E77" s="29"/>
      <c r="F77" s="30"/>
      <c r="G77" s="31"/>
      <c r="H77" s="30"/>
      <c r="I77" s="43"/>
      <c r="J77" s="30"/>
      <c r="K77" s="32"/>
      <c r="L77" s="29"/>
      <c r="M77" s="29"/>
      <c r="N77" s="34"/>
      <c r="O77" s="35"/>
      <c r="P77" s="29"/>
      <c r="Q77" s="29"/>
      <c r="R77" s="29"/>
      <c r="S77" s="33"/>
      <c r="T77" s="29"/>
      <c r="U77" s="36"/>
      <c r="V77" s="177"/>
      <c r="W77" s="91"/>
      <c r="X77" s="92"/>
      <c r="Y77" s="93"/>
      <c r="Z77" s="149"/>
      <c r="AA77" s="146"/>
      <c r="AB77" s="157"/>
      <c r="AC77" s="220"/>
    </row>
    <row r="78" spans="1:29" ht="20.100000000000001" customHeight="1">
      <c r="A78" s="26">
        <v>77</v>
      </c>
      <c r="B78" s="27"/>
      <c r="C78" s="112"/>
      <c r="D78" s="28"/>
      <c r="E78" s="29"/>
      <c r="F78" s="30"/>
      <c r="G78" s="31"/>
      <c r="H78" s="30"/>
      <c r="I78" s="31"/>
      <c r="J78" s="30"/>
      <c r="K78" s="37"/>
      <c r="L78" s="29"/>
      <c r="M78" s="29"/>
      <c r="N78" s="68"/>
      <c r="O78" s="35"/>
      <c r="P78" s="66"/>
      <c r="Q78" s="66"/>
      <c r="R78" s="66"/>
      <c r="S78" s="69"/>
      <c r="T78" s="66"/>
      <c r="U78" s="36"/>
      <c r="V78" s="177"/>
      <c r="W78" s="91"/>
      <c r="X78" s="92"/>
      <c r="Y78" s="93"/>
      <c r="Z78" s="149"/>
      <c r="AA78" s="147"/>
      <c r="AB78" s="157"/>
      <c r="AC78" s="220"/>
    </row>
    <row r="79" spans="1:29" ht="20.100000000000001" customHeight="1">
      <c r="A79" s="26">
        <v>78</v>
      </c>
      <c r="B79" s="27"/>
      <c r="C79" s="109"/>
      <c r="D79" s="27"/>
      <c r="E79" s="29"/>
      <c r="F79" s="30"/>
      <c r="G79" s="31"/>
      <c r="H79" s="30"/>
      <c r="I79" s="31"/>
      <c r="J79" s="30"/>
      <c r="K79" s="37"/>
      <c r="L79" s="29"/>
      <c r="M79" s="29"/>
      <c r="N79" s="34"/>
      <c r="O79" s="35"/>
      <c r="P79" s="29"/>
      <c r="Q79" s="29"/>
      <c r="R79" s="29"/>
      <c r="S79" s="33"/>
      <c r="T79" s="29"/>
      <c r="U79" s="36"/>
      <c r="V79" s="177"/>
      <c r="W79" s="91"/>
      <c r="X79" s="92"/>
      <c r="Y79" s="93"/>
      <c r="Z79" s="149"/>
      <c r="AA79" s="146"/>
      <c r="AB79" s="157"/>
      <c r="AC79" s="220"/>
    </row>
    <row r="80" spans="1:29" ht="20.100000000000001" customHeight="1">
      <c r="A80" s="26">
        <v>79</v>
      </c>
      <c r="B80" s="27"/>
      <c r="C80" s="109"/>
      <c r="D80" s="28"/>
      <c r="E80" s="29"/>
      <c r="F80" s="30"/>
      <c r="G80" s="31"/>
      <c r="H80" s="30"/>
      <c r="I80" s="31"/>
      <c r="J80" s="30"/>
      <c r="K80" s="37"/>
      <c r="L80" s="29"/>
      <c r="M80" s="29"/>
      <c r="N80" s="34"/>
      <c r="O80" s="35"/>
      <c r="P80" s="29"/>
      <c r="Q80" s="29"/>
      <c r="R80" s="29"/>
      <c r="S80" s="33"/>
      <c r="T80" s="29"/>
      <c r="U80" s="36"/>
      <c r="V80" s="177"/>
      <c r="W80" s="91"/>
      <c r="X80" s="92"/>
      <c r="Y80" s="93"/>
      <c r="Z80" s="149"/>
      <c r="AA80" s="146"/>
      <c r="AB80" s="157"/>
      <c r="AC80" s="220"/>
    </row>
    <row r="81" spans="1:29" ht="20.100000000000001" customHeight="1">
      <c r="A81" s="26">
        <v>80</v>
      </c>
      <c r="B81" s="27"/>
      <c r="C81" s="109"/>
      <c r="D81" s="28"/>
      <c r="E81" s="29"/>
      <c r="F81" s="30"/>
      <c r="G81" s="31"/>
      <c r="H81" s="30"/>
      <c r="I81" s="31"/>
      <c r="J81" s="30"/>
      <c r="K81" s="37"/>
      <c r="L81" s="29"/>
      <c r="M81" s="29"/>
      <c r="N81" s="34"/>
      <c r="O81" s="35"/>
      <c r="P81" s="29"/>
      <c r="Q81" s="29"/>
      <c r="R81" s="29"/>
      <c r="S81" s="33"/>
      <c r="T81" s="29"/>
      <c r="U81" s="36"/>
      <c r="V81" s="177"/>
      <c r="W81" s="91"/>
      <c r="X81" s="92"/>
      <c r="Y81" s="93"/>
      <c r="Z81" s="149"/>
      <c r="AA81" s="146"/>
      <c r="AB81" s="157"/>
      <c r="AC81" s="220"/>
    </row>
    <row r="82" spans="1:29" ht="20.100000000000001" customHeight="1">
      <c r="A82" s="26">
        <v>81</v>
      </c>
      <c r="B82" s="27"/>
      <c r="C82" s="109"/>
      <c r="D82" s="28"/>
      <c r="E82" s="29"/>
      <c r="F82" s="30"/>
      <c r="G82" s="31"/>
      <c r="H82" s="30"/>
      <c r="I82" s="31"/>
      <c r="J82" s="30"/>
      <c r="K82" s="37"/>
      <c r="L82" s="29"/>
      <c r="M82" s="29"/>
      <c r="N82" s="34"/>
      <c r="O82" s="35"/>
      <c r="P82" s="29"/>
      <c r="Q82" s="29"/>
      <c r="R82" s="29"/>
      <c r="S82" s="33"/>
      <c r="T82" s="29"/>
      <c r="U82" s="36"/>
      <c r="V82" s="177"/>
      <c r="W82" s="91"/>
      <c r="X82" s="92"/>
      <c r="Y82" s="93"/>
      <c r="Z82" s="149"/>
      <c r="AA82" s="146"/>
      <c r="AB82" s="157"/>
      <c r="AC82" s="220"/>
    </row>
    <row r="83" spans="1:29" ht="20.100000000000001" customHeight="1">
      <c r="A83" s="26">
        <v>82</v>
      </c>
      <c r="B83" s="27"/>
      <c r="C83" s="109"/>
      <c r="D83" s="28"/>
      <c r="E83" s="29"/>
      <c r="F83" s="49"/>
      <c r="G83" s="43"/>
      <c r="H83" s="49"/>
      <c r="I83" s="181"/>
      <c r="J83" s="39"/>
      <c r="K83" s="58"/>
      <c r="L83" s="29"/>
      <c r="M83" s="29"/>
      <c r="N83" s="34"/>
      <c r="O83" s="35"/>
      <c r="P83" s="29"/>
      <c r="Q83" s="29"/>
      <c r="R83" s="29"/>
      <c r="S83" s="33"/>
      <c r="T83" s="29"/>
      <c r="U83" s="36"/>
      <c r="V83" s="177"/>
      <c r="W83" s="91"/>
      <c r="X83" s="92"/>
      <c r="Y83" s="93"/>
      <c r="Z83" s="149"/>
      <c r="AA83" s="146"/>
      <c r="AB83" s="157"/>
      <c r="AC83" s="220"/>
    </row>
    <row r="84" spans="1:29" ht="20.100000000000001" customHeight="1">
      <c r="A84" s="26">
        <v>83</v>
      </c>
      <c r="B84" s="27"/>
      <c r="C84" s="109"/>
      <c r="D84" s="27"/>
      <c r="E84" s="29"/>
      <c r="F84" s="30"/>
      <c r="G84" s="31"/>
      <c r="H84" s="30"/>
      <c r="I84" s="43"/>
      <c r="J84" s="39"/>
      <c r="K84" s="37"/>
      <c r="L84" s="29"/>
      <c r="M84" s="29"/>
      <c r="N84" s="34"/>
      <c r="O84" s="35"/>
      <c r="P84" s="29"/>
      <c r="Q84" s="29"/>
      <c r="R84" s="29"/>
      <c r="S84" s="33"/>
      <c r="T84" s="108"/>
      <c r="U84" s="55"/>
      <c r="V84" s="179"/>
      <c r="W84" s="91"/>
      <c r="X84" s="92"/>
      <c r="Y84" s="93"/>
      <c r="Z84" s="149"/>
      <c r="AA84" s="146"/>
      <c r="AB84" s="157"/>
      <c r="AC84" s="220"/>
    </row>
    <row r="85" spans="1:29" ht="20.100000000000001" customHeight="1">
      <c r="A85" s="26">
        <v>84</v>
      </c>
      <c r="B85" s="27"/>
      <c r="C85" s="109"/>
      <c r="D85" s="27"/>
      <c r="E85" s="29"/>
      <c r="F85" s="39"/>
      <c r="G85" s="51"/>
      <c r="H85" s="39"/>
      <c r="I85" s="31"/>
      <c r="J85" s="30"/>
      <c r="K85" s="37"/>
      <c r="L85" s="29"/>
      <c r="M85" s="29"/>
      <c r="N85" s="34"/>
      <c r="O85" s="35"/>
      <c r="P85" s="29"/>
      <c r="Q85" s="29"/>
      <c r="R85" s="29"/>
      <c r="S85" s="33"/>
      <c r="T85" s="29"/>
      <c r="U85" s="36"/>
      <c r="V85" s="177"/>
      <c r="W85" s="91"/>
      <c r="X85" s="92"/>
      <c r="Y85" s="93"/>
      <c r="Z85" s="149"/>
      <c r="AA85" s="146"/>
      <c r="AB85" s="157"/>
      <c r="AC85" s="217"/>
    </row>
    <row r="86" spans="1:29" ht="20.100000000000001" customHeight="1">
      <c r="A86" s="26">
        <v>85</v>
      </c>
      <c r="B86" s="27"/>
      <c r="C86" s="109"/>
      <c r="D86" s="28"/>
      <c r="E86" s="29"/>
      <c r="F86" s="30"/>
      <c r="G86" s="31"/>
      <c r="H86" s="30"/>
      <c r="I86" s="31"/>
      <c r="J86" s="30"/>
      <c r="K86" s="37"/>
      <c r="L86" s="29"/>
      <c r="M86" s="29"/>
      <c r="N86" s="34"/>
      <c r="O86" s="35"/>
      <c r="P86" s="29"/>
      <c r="Q86" s="29"/>
      <c r="R86" s="29"/>
      <c r="S86" s="33"/>
      <c r="T86" s="29"/>
      <c r="U86" s="36"/>
      <c r="V86" s="177"/>
      <c r="W86" s="91"/>
      <c r="X86" s="92"/>
      <c r="Y86" s="93"/>
      <c r="Z86" s="149"/>
      <c r="AA86" s="146"/>
      <c r="AB86" s="157"/>
      <c r="AC86" s="217"/>
    </row>
    <row r="87" spans="1:29" ht="20.100000000000001" customHeight="1">
      <c r="A87" s="26">
        <v>86</v>
      </c>
      <c r="B87" s="27"/>
      <c r="C87" s="109"/>
      <c r="D87" s="28"/>
      <c r="E87" s="29"/>
      <c r="F87" s="39"/>
      <c r="G87" s="51"/>
      <c r="H87" s="39"/>
      <c r="I87" s="181"/>
      <c r="J87" s="39"/>
      <c r="K87" s="37"/>
      <c r="L87" s="29"/>
      <c r="M87" s="29"/>
      <c r="N87" s="34"/>
      <c r="O87" s="35"/>
      <c r="P87" s="29"/>
      <c r="Q87" s="44"/>
      <c r="R87" s="44"/>
      <c r="S87" s="52"/>
      <c r="T87" s="33"/>
      <c r="U87" s="36"/>
      <c r="V87" s="177"/>
      <c r="W87" s="91"/>
      <c r="X87" s="92"/>
      <c r="Y87" s="93"/>
      <c r="Z87" s="149"/>
      <c r="AA87" s="146"/>
      <c r="AB87" s="157"/>
      <c r="AC87" s="217"/>
    </row>
    <row r="88" spans="1:29" ht="20.100000000000001" customHeight="1">
      <c r="A88" s="26">
        <v>87</v>
      </c>
      <c r="B88" s="27"/>
      <c r="C88" s="109"/>
      <c r="D88" s="27"/>
      <c r="E88" s="29"/>
      <c r="F88" s="30"/>
      <c r="G88" s="31"/>
      <c r="H88" s="30"/>
      <c r="I88" s="31"/>
      <c r="J88" s="30"/>
      <c r="K88" s="37"/>
      <c r="L88" s="29"/>
      <c r="M88" s="29"/>
      <c r="N88" s="34"/>
      <c r="O88" s="35"/>
      <c r="P88" s="29"/>
      <c r="Q88" s="29"/>
      <c r="R88" s="29"/>
      <c r="S88" s="33"/>
      <c r="T88" s="29"/>
      <c r="U88" s="55"/>
      <c r="V88" s="179"/>
      <c r="W88" s="91"/>
      <c r="X88" s="92"/>
      <c r="Y88" s="93"/>
      <c r="Z88" s="149"/>
      <c r="AA88" s="146"/>
      <c r="AB88" s="157"/>
      <c r="AC88" s="217"/>
    </row>
    <row r="89" spans="1:29" ht="20.100000000000001" customHeight="1">
      <c r="A89" s="26">
        <v>88</v>
      </c>
      <c r="B89" s="27"/>
      <c r="C89" s="109"/>
      <c r="D89" s="28"/>
      <c r="E89" s="29"/>
      <c r="F89" s="30"/>
      <c r="G89" s="31"/>
      <c r="H89" s="30"/>
      <c r="I89" s="31"/>
      <c r="J89" s="30"/>
      <c r="K89" s="37"/>
      <c r="L89" s="29"/>
      <c r="M89" s="29"/>
      <c r="N89" s="34"/>
      <c r="O89" s="35"/>
      <c r="P89" s="29"/>
      <c r="Q89" s="29"/>
      <c r="R89" s="29"/>
      <c r="S89" s="33"/>
      <c r="T89" s="29"/>
      <c r="U89" s="55"/>
      <c r="V89" s="179"/>
      <c r="W89" s="91"/>
      <c r="X89" s="92"/>
      <c r="Y89" s="93"/>
      <c r="Z89" s="149"/>
      <c r="AA89" s="146"/>
      <c r="AB89" s="157"/>
      <c r="AC89" s="217"/>
    </row>
    <row r="90" spans="1:29" ht="20.100000000000001" customHeight="1">
      <c r="A90" s="26">
        <v>89</v>
      </c>
      <c r="B90" s="27"/>
      <c r="C90" s="109"/>
      <c r="D90" s="28"/>
      <c r="E90" s="29"/>
      <c r="F90" s="49"/>
      <c r="G90" s="43"/>
      <c r="H90" s="49"/>
      <c r="I90" s="43"/>
      <c r="J90" s="39"/>
      <c r="K90" s="63"/>
      <c r="L90" s="29"/>
      <c r="M90" s="29"/>
      <c r="N90" s="34"/>
      <c r="O90" s="35"/>
      <c r="P90" s="29"/>
      <c r="Q90" s="29"/>
      <c r="R90" s="29"/>
      <c r="S90" s="33"/>
      <c r="T90" s="29"/>
      <c r="U90" s="36"/>
      <c r="V90" s="177"/>
      <c r="W90" s="91"/>
      <c r="X90" s="92"/>
      <c r="Y90" s="93"/>
      <c r="Z90" s="149"/>
      <c r="AA90" s="146"/>
      <c r="AB90" s="157"/>
      <c r="AC90" s="217"/>
    </row>
    <row r="91" spans="1:29" ht="20.100000000000001" customHeight="1">
      <c r="A91" s="26">
        <v>90</v>
      </c>
      <c r="B91" s="27"/>
      <c r="C91" s="109"/>
      <c r="D91" s="27"/>
      <c r="E91" s="29"/>
      <c r="F91" s="30"/>
      <c r="G91" s="31"/>
      <c r="H91" s="30"/>
      <c r="I91" s="31"/>
      <c r="J91" s="30"/>
      <c r="K91" s="37"/>
      <c r="L91" s="29"/>
      <c r="M91" s="29"/>
      <c r="N91" s="34"/>
      <c r="O91" s="35"/>
      <c r="P91" s="29"/>
      <c r="Q91" s="29"/>
      <c r="R91" s="29"/>
      <c r="S91" s="33"/>
      <c r="T91" s="29"/>
      <c r="U91" s="55"/>
      <c r="V91" s="179"/>
      <c r="W91" s="91"/>
      <c r="X91" s="92"/>
      <c r="Y91" s="93"/>
      <c r="Z91" s="149"/>
      <c r="AA91" s="146"/>
      <c r="AB91" s="157"/>
      <c r="AC91" s="217"/>
    </row>
    <row r="92" spans="1:29" ht="20.100000000000001" customHeight="1">
      <c r="A92" s="26">
        <v>91</v>
      </c>
      <c r="B92" s="27"/>
      <c r="C92" s="109"/>
      <c r="D92" s="27"/>
      <c r="E92" s="29"/>
      <c r="F92" s="30"/>
      <c r="G92" s="31"/>
      <c r="H92" s="30"/>
      <c r="I92" s="31"/>
      <c r="J92" s="30"/>
      <c r="K92" s="37"/>
      <c r="L92" s="29"/>
      <c r="M92" s="29"/>
      <c r="N92" s="34"/>
      <c r="O92" s="35"/>
      <c r="P92" s="29"/>
      <c r="Q92" s="29"/>
      <c r="R92" s="29"/>
      <c r="S92" s="33"/>
      <c r="T92" s="29"/>
      <c r="U92" s="55"/>
      <c r="V92" s="179"/>
      <c r="W92" s="91"/>
      <c r="X92" s="92"/>
      <c r="Y92" s="93"/>
      <c r="Z92" s="149"/>
      <c r="AA92" s="146"/>
      <c r="AB92" s="157"/>
      <c r="AC92" s="217"/>
    </row>
    <row r="93" spans="1:29" ht="20.100000000000001" customHeight="1">
      <c r="A93" s="26">
        <v>92</v>
      </c>
      <c r="B93" s="27"/>
      <c r="C93" s="109"/>
      <c r="D93" s="28"/>
      <c r="E93" s="29"/>
      <c r="F93" s="49"/>
      <c r="G93" s="43"/>
      <c r="H93" s="49"/>
      <c r="I93" s="31"/>
      <c r="J93" s="39"/>
      <c r="K93" s="37"/>
      <c r="L93" s="29"/>
      <c r="M93" s="29"/>
      <c r="N93" s="34"/>
      <c r="O93" s="35"/>
      <c r="P93" s="29"/>
      <c r="Q93" s="29"/>
      <c r="R93" s="29"/>
      <c r="S93" s="69"/>
      <c r="T93" s="29"/>
      <c r="U93" s="55"/>
      <c r="V93" s="179"/>
      <c r="W93" s="91"/>
      <c r="X93" s="92"/>
      <c r="Y93" s="93"/>
      <c r="Z93" s="149"/>
      <c r="AA93" s="146"/>
      <c r="AB93" s="157"/>
      <c r="AC93" s="217"/>
    </row>
    <row r="94" spans="1:29" ht="20.100000000000001" customHeight="1">
      <c r="A94" s="26">
        <v>93</v>
      </c>
      <c r="B94" s="27"/>
      <c r="C94" s="109"/>
      <c r="D94" s="28"/>
      <c r="E94" s="29"/>
      <c r="F94" s="30"/>
      <c r="G94" s="31"/>
      <c r="H94" s="30"/>
      <c r="I94" s="31"/>
      <c r="J94" s="30"/>
      <c r="K94" s="37"/>
      <c r="L94" s="29"/>
      <c r="M94" s="29"/>
      <c r="N94" s="34"/>
      <c r="O94" s="35"/>
      <c r="P94" s="29"/>
      <c r="Q94" s="29"/>
      <c r="R94" s="29"/>
      <c r="S94" s="33"/>
      <c r="T94" s="29"/>
      <c r="U94" s="55"/>
      <c r="V94" s="179"/>
      <c r="W94" s="91"/>
      <c r="X94" s="92"/>
      <c r="Y94" s="93"/>
      <c r="Z94" s="149"/>
      <c r="AA94" s="146"/>
      <c r="AB94" s="157"/>
      <c r="AC94" s="217"/>
    </row>
    <row r="95" spans="1:29" ht="20.100000000000001" customHeight="1">
      <c r="A95" s="26">
        <v>94</v>
      </c>
      <c r="B95" s="27"/>
      <c r="C95" s="109"/>
      <c r="D95" s="27"/>
      <c r="E95" s="29"/>
      <c r="F95" s="30"/>
      <c r="G95" s="31"/>
      <c r="H95" s="30"/>
      <c r="I95" s="31"/>
      <c r="J95" s="30"/>
      <c r="K95" s="37"/>
      <c r="L95" s="29"/>
      <c r="M95" s="29"/>
      <c r="N95" s="34"/>
      <c r="O95" s="35"/>
      <c r="P95" s="29"/>
      <c r="Q95" s="29"/>
      <c r="R95" s="29"/>
      <c r="S95" s="33"/>
      <c r="T95" s="29"/>
      <c r="U95" s="55"/>
      <c r="V95" s="179"/>
      <c r="W95" s="91"/>
      <c r="X95" s="92"/>
      <c r="Y95" s="93"/>
      <c r="Z95" s="149"/>
      <c r="AA95" s="146"/>
      <c r="AB95" s="157"/>
      <c r="AC95" s="217"/>
    </row>
    <row r="96" spans="1:29" ht="20.100000000000001" customHeight="1">
      <c r="A96" s="26">
        <v>95</v>
      </c>
      <c r="B96" s="27"/>
      <c r="C96" s="109"/>
      <c r="D96" s="28"/>
      <c r="E96" s="29"/>
      <c r="F96" s="30"/>
      <c r="G96" s="31"/>
      <c r="H96" s="30"/>
      <c r="I96" s="31"/>
      <c r="J96" s="30"/>
      <c r="K96" s="37"/>
      <c r="L96" s="29"/>
      <c r="M96" s="29"/>
      <c r="N96" s="34"/>
      <c r="O96" s="35"/>
      <c r="P96" s="29"/>
      <c r="Q96" s="29"/>
      <c r="R96" s="29"/>
      <c r="S96" s="33"/>
      <c r="T96" s="29"/>
      <c r="U96" s="55"/>
      <c r="V96" s="177"/>
      <c r="W96" s="91"/>
      <c r="X96" s="92"/>
      <c r="Y96" s="93"/>
      <c r="Z96" s="149"/>
      <c r="AA96" s="146"/>
      <c r="AB96" s="157"/>
      <c r="AC96" s="217"/>
    </row>
    <row r="97" spans="1:29" ht="20.100000000000001" customHeight="1">
      <c r="A97" s="26">
        <v>96</v>
      </c>
      <c r="B97" s="27"/>
      <c r="C97" s="109"/>
      <c r="D97" s="28"/>
      <c r="E97" s="29"/>
      <c r="F97" s="49"/>
      <c r="G97" s="43"/>
      <c r="H97" s="49"/>
      <c r="I97" s="43"/>
      <c r="J97" s="39"/>
      <c r="K97" s="37"/>
      <c r="L97" s="29"/>
      <c r="M97" s="29"/>
      <c r="N97" s="34"/>
      <c r="O97" s="35"/>
      <c r="P97" s="29"/>
      <c r="Q97" s="29"/>
      <c r="R97" s="29"/>
      <c r="S97" s="33"/>
      <c r="T97" s="29"/>
      <c r="U97" s="36"/>
      <c r="V97" s="177"/>
      <c r="W97" s="91"/>
      <c r="X97" s="92"/>
      <c r="Y97" s="93"/>
      <c r="Z97" s="149"/>
      <c r="AA97" s="146"/>
      <c r="AB97" s="157"/>
      <c r="AC97" s="217"/>
    </row>
    <row r="98" spans="1:29" ht="20.100000000000001" customHeight="1">
      <c r="A98" s="26"/>
      <c r="B98" s="189"/>
      <c r="C98" s="190"/>
      <c r="D98" s="28"/>
      <c r="E98" s="29"/>
      <c r="F98" s="191"/>
      <c r="G98" s="192"/>
      <c r="H98" s="191"/>
      <c r="I98" s="193"/>
      <c r="J98" s="39"/>
      <c r="K98" s="54"/>
      <c r="L98" s="194"/>
      <c r="M98" s="194"/>
      <c r="N98" s="195"/>
      <c r="O98" s="196"/>
      <c r="P98" s="194"/>
      <c r="Q98" s="194"/>
      <c r="R98" s="194"/>
      <c r="S98" s="197"/>
      <c r="T98" s="29"/>
      <c r="U98" s="36"/>
      <c r="V98" s="177"/>
      <c r="W98" s="198"/>
      <c r="X98" s="92"/>
      <c r="Y98" s="199"/>
      <c r="Z98" s="149"/>
      <c r="AA98" s="146"/>
      <c r="AB98" s="157"/>
      <c r="AC98" s="217"/>
    </row>
    <row r="99" spans="1:29" ht="20.100000000000001" customHeight="1">
      <c r="A99" s="26"/>
      <c r="B99" s="27"/>
      <c r="C99" s="109"/>
      <c r="D99" s="28"/>
      <c r="E99" s="29"/>
      <c r="F99" s="30"/>
      <c r="G99" s="31"/>
      <c r="H99" s="30"/>
      <c r="I99" s="31"/>
      <c r="J99" s="30"/>
      <c r="K99" s="37"/>
      <c r="L99" s="29"/>
      <c r="M99" s="29"/>
      <c r="N99" s="34"/>
      <c r="O99" s="35"/>
      <c r="P99" s="29"/>
      <c r="Q99" s="29"/>
      <c r="R99" s="29"/>
      <c r="S99" s="69"/>
      <c r="T99" s="108"/>
      <c r="U99" s="55"/>
      <c r="V99" s="179"/>
      <c r="W99" s="91"/>
      <c r="X99" s="92"/>
      <c r="Y99" s="93"/>
      <c r="Z99" s="149"/>
      <c r="AA99" s="146"/>
      <c r="AB99" s="157"/>
      <c r="AC99" s="217"/>
    </row>
    <row r="100" spans="1:29" ht="20.100000000000001" customHeight="1">
      <c r="A100" s="26"/>
      <c r="B100" s="27"/>
      <c r="C100" s="109"/>
      <c r="D100" s="27"/>
      <c r="E100" s="29"/>
      <c r="F100" s="49"/>
      <c r="G100" s="43"/>
      <c r="H100" s="49"/>
      <c r="I100" s="43"/>
      <c r="J100" s="39"/>
      <c r="K100" s="86"/>
      <c r="L100" s="29"/>
      <c r="M100" s="29"/>
      <c r="N100" s="34"/>
      <c r="O100" s="35"/>
      <c r="P100" s="29"/>
      <c r="Q100" s="29"/>
      <c r="R100" s="29"/>
      <c r="S100" s="33"/>
      <c r="T100" s="29"/>
      <c r="U100" s="36"/>
      <c r="V100" s="177"/>
      <c r="W100" s="91"/>
      <c r="X100" s="92"/>
      <c r="Y100" s="93"/>
      <c r="Z100" s="149"/>
      <c r="AA100" s="146"/>
      <c r="AB100" s="157"/>
      <c r="AC100" s="217"/>
    </row>
    <row r="101" spans="1:29" ht="20.100000000000001" customHeight="1">
      <c r="A101" s="26"/>
      <c r="B101" s="27"/>
      <c r="C101" s="109"/>
      <c r="D101" s="28"/>
      <c r="E101" s="29"/>
      <c r="F101" s="49"/>
      <c r="G101" s="43"/>
      <c r="H101" s="49"/>
      <c r="I101" s="185"/>
      <c r="J101" s="39"/>
      <c r="K101" s="37"/>
      <c r="L101" s="29"/>
      <c r="M101" s="44"/>
      <c r="N101" s="34"/>
      <c r="O101" s="35"/>
      <c r="P101" s="44"/>
      <c r="Q101" s="44"/>
      <c r="R101" s="44"/>
      <c r="S101" s="33"/>
      <c r="T101" s="44"/>
      <c r="U101" s="53"/>
      <c r="V101" s="177"/>
      <c r="W101" s="91"/>
      <c r="X101" s="92"/>
      <c r="Y101" s="93"/>
      <c r="Z101" s="149"/>
      <c r="AA101" s="146"/>
      <c r="AB101" s="157"/>
      <c r="AC101" s="217"/>
    </row>
    <row r="102" spans="1:29" ht="20.100000000000001" customHeight="1">
      <c r="A102" s="26"/>
      <c r="B102" s="27"/>
      <c r="C102" s="109"/>
      <c r="D102" s="28"/>
      <c r="E102" s="29"/>
      <c r="F102" s="49"/>
      <c r="G102" s="43"/>
      <c r="H102" s="49"/>
      <c r="I102" s="51"/>
      <c r="J102" s="39"/>
      <c r="K102" s="145"/>
      <c r="L102" s="44"/>
      <c r="M102" s="44"/>
      <c r="N102" s="34"/>
      <c r="O102" s="35"/>
      <c r="P102" s="44"/>
      <c r="Q102" s="44"/>
      <c r="R102" s="44"/>
      <c r="S102" s="52"/>
      <c r="T102" s="44"/>
      <c r="U102" s="53"/>
      <c r="V102" s="177"/>
      <c r="W102" s="91"/>
      <c r="X102" s="92"/>
      <c r="Y102" s="93"/>
      <c r="Z102" s="149"/>
      <c r="AA102" s="146"/>
      <c r="AB102" s="157"/>
      <c r="AC102" s="217"/>
    </row>
    <row r="103" spans="1:29" ht="20.100000000000001" customHeight="1">
      <c r="A103" s="26"/>
      <c r="B103" s="27"/>
      <c r="C103" s="109"/>
      <c r="D103" s="28"/>
      <c r="E103" s="29"/>
      <c r="F103" s="39"/>
      <c r="G103" s="51"/>
      <c r="H103" s="39"/>
      <c r="I103" s="31"/>
      <c r="J103" s="30"/>
      <c r="K103" s="37"/>
      <c r="L103" s="29"/>
      <c r="M103" s="29"/>
      <c r="N103" s="34"/>
      <c r="O103" s="35"/>
      <c r="P103" s="29"/>
      <c r="Q103" s="29"/>
      <c r="R103" s="29"/>
      <c r="S103" s="52"/>
      <c r="T103" s="29"/>
      <c r="U103" s="36"/>
      <c r="V103" s="177"/>
      <c r="W103" s="91"/>
      <c r="X103" s="92"/>
      <c r="Y103" s="93"/>
      <c r="Z103" s="149"/>
      <c r="AA103" s="146"/>
      <c r="AB103" s="157"/>
      <c r="AC103" s="217"/>
    </row>
    <row r="104" spans="1:29" ht="20.100000000000001" customHeight="1" thickBot="1">
      <c r="A104" s="72"/>
      <c r="B104" s="200"/>
      <c r="C104" s="201"/>
      <c r="D104" s="200"/>
      <c r="E104" s="76"/>
      <c r="F104" s="202"/>
      <c r="G104" s="203"/>
      <c r="H104" s="202"/>
      <c r="I104" s="204"/>
      <c r="J104" s="205"/>
      <c r="K104" s="206"/>
      <c r="L104" s="207"/>
      <c r="M104" s="207"/>
      <c r="N104" s="208"/>
      <c r="O104" s="208"/>
      <c r="P104" s="207"/>
      <c r="Q104" s="207"/>
      <c r="R104" s="207"/>
      <c r="S104" s="209"/>
      <c r="T104" s="76"/>
      <c r="U104" s="84"/>
      <c r="V104" s="210"/>
      <c r="W104" s="211"/>
      <c r="X104" s="212"/>
      <c r="Y104" s="213"/>
      <c r="Z104" s="150"/>
      <c r="AA104" s="214"/>
      <c r="AB104" s="215"/>
      <c r="AC104" s="218"/>
    </row>
    <row r="105" spans="1:29" ht="20.100000000000001" customHeight="1">
      <c r="B105" s="160"/>
      <c r="C105" s="160"/>
      <c r="D105" s="160"/>
      <c r="E105" s="161"/>
      <c r="F105" s="161"/>
      <c r="G105" s="162"/>
      <c r="H105" s="161"/>
      <c r="I105" s="161"/>
      <c r="J105" s="161"/>
      <c r="K105" s="161"/>
      <c r="L105" s="163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</row>
    <row r="106" spans="1:29" ht="20.100000000000001" customHeight="1">
      <c r="B106" s="160"/>
      <c r="C106" s="160"/>
      <c r="D106" s="160"/>
      <c r="E106" s="161"/>
      <c r="F106" s="161"/>
      <c r="G106" s="162"/>
      <c r="H106" s="161"/>
      <c r="I106" s="161"/>
      <c r="J106" s="161"/>
      <c r="K106" s="161"/>
      <c r="L106" s="163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</row>
    <row r="107" spans="1:29" ht="20.100000000000001" customHeight="1">
      <c r="B107" s="160"/>
      <c r="C107" s="160"/>
      <c r="D107" s="160"/>
      <c r="E107" s="161"/>
      <c r="F107" s="161"/>
      <c r="G107" s="162"/>
      <c r="H107" s="161"/>
      <c r="I107" s="161"/>
      <c r="J107" s="161"/>
      <c r="K107" s="161"/>
      <c r="L107" s="163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</row>
    <row r="108" spans="1:29" ht="20.100000000000001" customHeight="1">
      <c r="B108" s="160"/>
      <c r="C108" s="160"/>
      <c r="D108" s="160"/>
      <c r="E108" s="161"/>
      <c r="F108" s="161"/>
      <c r="G108" s="162"/>
      <c r="H108" s="161"/>
      <c r="I108" s="161"/>
      <c r="J108" s="161"/>
      <c r="K108" s="161"/>
      <c r="L108" s="163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</row>
    <row r="109" spans="1:29" ht="20.100000000000001" customHeight="1">
      <c r="B109" s="160"/>
      <c r="C109" s="160"/>
      <c r="D109" s="160"/>
      <c r="E109" s="161"/>
      <c r="F109" s="161"/>
      <c r="G109" s="162"/>
      <c r="H109" s="161"/>
      <c r="I109" s="161"/>
      <c r="J109" s="161"/>
      <c r="K109" s="161"/>
      <c r="L109" s="163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</row>
    <row r="110" spans="1:29" ht="20.100000000000001" customHeight="1">
      <c r="B110" s="160"/>
      <c r="C110" s="160"/>
      <c r="D110" s="160"/>
      <c r="E110" s="161"/>
      <c r="F110" s="161"/>
      <c r="G110" s="162"/>
      <c r="H110" s="161"/>
      <c r="I110" s="161"/>
      <c r="J110" s="161"/>
      <c r="K110" s="161"/>
      <c r="L110" s="163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</row>
    <row r="111" spans="1:29" ht="20.100000000000001" customHeight="1">
      <c r="B111" s="160"/>
      <c r="C111" s="160"/>
      <c r="D111" s="160"/>
      <c r="E111" s="161"/>
      <c r="F111" s="161"/>
      <c r="G111" s="162"/>
      <c r="H111" s="161"/>
      <c r="I111" s="161"/>
      <c r="J111" s="161"/>
      <c r="K111" s="161"/>
      <c r="L111" s="163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</row>
    <row r="112" spans="1:29" ht="20.100000000000001" customHeight="1">
      <c r="B112" s="160"/>
      <c r="C112" s="160"/>
      <c r="D112" s="160"/>
      <c r="E112" s="161"/>
      <c r="F112" s="161"/>
      <c r="G112" s="162"/>
      <c r="H112" s="161"/>
      <c r="I112" s="161"/>
      <c r="J112" s="161"/>
      <c r="K112" s="161"/>
      <c r="L112" s="163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</row>
    <row r="113" spans="2:25" ht="20.100000000000001" customHeight="1">
      <c r="B113" s="160"/>
      <c r="C113" s="160"/>
      <c r="D113" s="160"/>
      <c r="E113" s="161"/>
      <c r="F113" s="161"/>
      <c r="G113" s="162"/>
      <c r="H113" s="161"/>
      <c r="I113" s="161"/>
      <c r="J113" s="161"/>
      <c r="K113" s="161"/>
      <c r="L113" s="163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</row>
    <row r="114" spans="2:25" ht="20.100000000000001" customHeight="1">
      <c r="B114" s="160"/>
      <c r="C114" s="160"/>
      <c r="D114" s="160"/>
      <c r="E114" s="161"/>
      <c r="F114" s="161"/>
      <c r="G114" s="162"/>
      <c r="H114" s="161"/>
      <c r="I114" s="161"/>
      <c r="J114" s="161"/>
      <c r="K114" s="161"/>
      <c r="L114" s="163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</row>
    <row r="115" spans="2:25" ht="20.100000000000001" customHeight="1">
      <c r="B115" s="160"/>
      <c r="C115" s="160"/>
      <c r="D115" s="160"/>
      <c r="E115" s="161"/>
      <c r="F115" s="161"/>
      <c r="G115" s="162"/>
      <c r="H115" s="161"/>
      <c r="I115" s="161"/>
      <c r="J115" s="161"/>
      <c r="K115" s="161"/>
      <c r="L115" s="163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</row>
    <row r="116" spans="2:25" ht="20.100000000000001" customHeight="1">
      <c r="B116" s="160"/>
      <c r="C116" s="160"/>
      <c r="D116" s="160"/>
      <c r="E116" s="161"/>
      <c r="F116" s="161"/>
      <c r="G116" s="162"/>
      <c r="H116" s="161"/>
      <c r="I116" s="161"/>
      <c r="J116" s="161"/>
      <c r="K116" s="161"/>
      <c r="L116" s="163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</row>
    <row r="117" spans="2:25" ht="20.100000000000001" customHeight="1">
      <c r="B117" s="160"/>
      <c r="C117" s="160"/>
      <c r="D117" s="160"/>
      <c r="E117" s="161"/>
      <c r="F117" s="161"/>
      <c r="G117" s="162"/>
      <c r="H117" s="161"/>
      <c r="I117" s="161"/>
      <c r="J117" s="161"/>
      <c r="K117" s="161"/>
      <c r="L117" s="163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</row>
    <row r="118" spans="2:25" ht="20.100000000000001" customHeight="1">
      <c r="B118" s="160"/>
      <c r="C118" s="160"/>
      <c r="D118" s="160"/>
      <c r="E118" s="161"/>
      <c r="F118" s="161"/>
      <c r="G118" s="162"/>
      <c r="H118" s="161"/>
      <c r="I118" s="161"/>
      <c r="J118" s="161"/>
      <c r="K118" s="161"/>
      <c r="L118" s="163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</row>
    <row r="119" spans="2:25" ht="20.100000000000001" customHeight="1">
      <c r="B119" s="160"/>
      <c r="C119" s="160"/>
      <c r="D119" s="160"/>
      <c r="E119" s="161"/>
      <c r="F119" s="161"/>
      <c r="G119" s="162"/>
      <c r="H119" s="161"/>
      <c r="I119" s="161"/>
      <c r="J119" s="161"/>
      <c r="K119" s="161"/>
      <c r="L119" s="163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</row>
    <row r="120" spans="2:25" ht="20.100000000000001" customHeight="1">
      <c r="B120" s="160"/>
      <c r="C120" s="160"/>
      <c r="D120" s="160"/>
      <c r="E120" s="161"/>
      <c r="F120" s="161"/>
      <c r="G120" s="162"/>
      <c r="H120" s="161"/>
      <c r="I120" s="161"/>
      <c r="J120" s="161"/>
      <c r="K120" s="161"/>
      <c r="L120" s="163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</row>
    <row r="121" spans="2:25" ht="20.100000000000001" customHeight="1">
      <c r="B121" s="160"/>
      <c r="C121" s="160"/>
      <c r="D121" s="160"/>
      <c r="E121" s="161"/>
      <c r="F121" s="161"/>
      <c r="G121" s="162"/>
      <c r="H121" s="161"/>
      <c r="I121" s="161"/>
      <c r="J121" s="161"/>
      <c r="K121" s="161"/>
      <c r="L121" s="163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</row>
    <row r="122" spans="2:25" ht="20.100000000000001" customHeight="1">
      <c r="B122" s="160"/>
      <c r="C122" s="160"/>
      <c r="D122" s="160"/>
      <c r="E122" s="161"/>
      <c r="F122" s="161"/>
      <c r="G122" s="162"/>
      <c r="H122" s="161"/>
      <c r="I122" s="161"/>
      <c r="J122" s="161"/>
      <c r="K122" s="161"/>
      <c r="L122" s="163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</row>
    <row r="123" spans="2:25" ht="20.100000000000001" customHeight="1">
      <c r="B123" s="160"/>
      <c r="C123" s="160"/>
      <c r="D123" s="160"/>
      <c r="E123" s="161"/>
      <c r="F123" s="161"/>
      <c r="G123" s="162"/>
      <c r="H123" s="161"/>
      <c r="I123" s="161"/>
      <c r="J123" s="161"/>
      <c r="K123" s="161"/>
      <c r="L123" s="163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</row>
    <row r="124" spans="2:25" ht="20.100000000000001" customHeight="1">
      <c r="B124" s="160"/>
      <c r="C124" s="160"/>
      <c r="D124" s="160"/>
      <c r="E124" s="161"/>
      <c r="F124" s="161"/>
      <c r="G124" s="162"/>
      <c r="H124" s="161"/>
      <c r="I124" s="161"/>
      <c r="J124" s="161"/>
      <c r="K124" s="161"/>
      <c r="L124" s="163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</row>
    <row r="125" spans="2:25" ht="20.100000000000001" customHeight="1">
      <c r="B125" s="160"/>
      <c r="C125" s="160"/>
      <c r="D125" s="160"/>
      <c r="E125" s="161"/>
      <c r="F125" s="161"/>
      <c r="G125" s="162"/>
      <c r="H125" s="161"/>
      <c r="I125" s="161"/>
      <c r="J125" s="161"/>
      <c r="K125" s="161"/>
      <c r="L125" s="163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</row>
    <row r="126" spans="2:25" ht="20.100000000000001" customHeight="1">
      <c r="B126" s="160"/>
      <c r="C126" s="160"/>
      <c r="D126" s="160"/>
      <c r="E126" s="161"/>
      <c r="F126" s="161"/>
      <c r="G126" s="162"/>
      <c r="H126" s="161"/>
      <c r="I126" s="161"/>
      <c r="J126" s="161"/>
      <c r="K126" s="161"/>
      <c r="L126" s="163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</row>
    <row r="127" spans="2:25" ht="20.100000000000001" customHeight="1">
      <c r="B127" s="160"/>
      <c r="C127" s="160"/>
      <c r="D127" s="160"/>
      <c r="E127" s="161"/>
      <c r="F127" s="161"/>
      <c r="G127" s="162"/>
      <c r="H127" s="161"/>
      <c r="I127" s="161"/>
      <c r="J127" s="161"/>
      <c r="K127" s="161"/>
      <c r="L127" s="163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</row>
    <row r="128" spans="2:25" ht="20.100000000000001" customHeight="1">
      <c r="B128" s="160"/>
      <c r="C128" s="160"/>
      <c r="D128" s="160"/>
      <c r="E128" s="161"/>
      <c r="F128" s="161"/>
      <c r="G128" s="162"/>
      <c r="H128" s="161"/>
      <c r="I128" s="161"/>
      <c r="J128" s="161"/>
      <c r="K128" s="161"/>
      <c r="L128" s="163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</row>
    <row r="129" spans="2:25" ht="20.100000000000001" customHeight="1">
      <c r="B129" s="160"/>
      <c r="C129" s="160"/>
      <c r="D129" s="160"/>
      <c r="E129" s="161"/>
      <c r="F129" s="161"/>
      <c r="G129" s="162"/>
      <c r="H129" s="161"/>
      <c r="I129" s="161"/>
      <c r="J129" s="161"/>
      <c r="K129" s="161"/>
      <c r="L129" s="163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</row>
    <row r="130" spans="2:25" ht="20.100000000000001" customHeight="1">
      <c r="B130" s="160"/>
      <c r="C130" s="160"/>
      <c r="D130" s="160"/>
      <c r="E130" s="161"/>
      <c r="F130" s="161"/>
      <c r="G130" s="162"/>
      <c r="H130" s="161"/>
      <c r="I130" s="161"/>
      <c r="J130" s="161"/>
      <c r="K130" s="161"/>
      <c r="L130" s="163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</row>
    <row r="131" spans="2:25" ht="20.100000000000001" customHeight="1">
      <c r="B131" s="160"/>
      <c r="C131" s="160"/>
      <c r="D131" s="160"/>
      <c r="E131" s="161"/>
      <c r="F131" s="161"/>
      <c r="G131" s="162"/>
      <c r="H131" s="161"/>
      <c r="I131" s="161"/>
      <c r="J131" s="161"/>
      <c r="K131" s="161"/>
      <c r="L131" s="163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</row>
    <row r="132" spans="2:25" ht="20.100000000000001" customHeight="1">
      <c r="B132" s="160"/>
      <c r="C132" s="160"/>
      <c r="D132" s="160"/>
      <c r="E132" s="161"/>
      <c r="F132" s="161"/>
      <c r="G132" s="162"/>
      <c r="H132" s="161"/>
      <c r="I132" s="161"/>
      <c r="J132" s="161"/>
      <c r="K132" s="161"/>
      <c r="L132" s="163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</row>
    <row r="133" spans="2:25" ht="20.100000000000001" customHeight="1">
      <c r="B133" s="160"/>
      <c r="C133" s="160"/>
      <c r="D133" s="160"/>
      <c r="E133" s="161"/>
      <c r="F133" s="161"/>
      <c r="G133" s="162"/>
      <c r="H133" s="161"/>
      <c r="I133" s="161"/>
      <c r="J133" s="161"/>
      <c r="K133" s="161"/>
      <c r="L133" s="163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</row>
    <row r="134" spans="2:25" ht="20.100000000000001" customHeight="1">
      <c r="B134" s="160"/>
      <c r="C134" s="160"/>
      <c r="D134" s="160"/>
      <c r="E134" s="161"/>
      <c r="F134" s="161"/>
      <c r="G134" s="162"/>
      <c r="H134" s="161"/>
      <c r="I134" s="161"/>
      <c r="J134" s="161"/>
      <c r="K134" s="161"/>
      <c r="L134" s="163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</row>
    <row r="135" spans="2:25" ht="20.100000000000001" customHeight="1">
      <c r="B135" s="160"/>
      <c r="C135" s="160"/>
      <c r="D135" s="160"/>
      <c r="E135" s="161"/>
      <c r="F135" s="161"/>
      <c r="G135" s="162"/>
      <c r="H135" s="161"/>
      <c r="I135" s="161"/>
      <c r="J135" s="161"/>
      <c r="K135" s="161"/>
      <c r="L135" s="163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</row>
    <row r="136" spans="2:25" ht="20.100000000000001" customHeight="1">
      <c r="B136" s="160"/>
      <c r="C136" s="160"/>
      <c r="D136" s="160"/>
      <c r="E136" s="161"/>
      <c r="F136" s="161"/>
      <c r="G136" s="162"/>
      <c r="H136" s="161"/>
      <c r="I136" s="161"/>
      <c r="J136" s="161"/>
      <c r="K136" s="161"/>
      <c r="L136" s="163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</row>
    <row r="137" spans="2:25" ht="20.100000000000001" customHeight="1">
      <c r="B137" s="160"/>
      <c r="C137" s="160"/>
      <c r="D137" s="160"/>
      <c r="E137" s="161"/>
      <c r="F137" s="161"/>
      <c r="G137" s="162"/>
      <c r="H137" s="161"/>
      <c r="I137" s="161"/>
      <c r="J137" s="161"/>
      <c r="K137" s="161"/>
      <c r="L137" s="163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</row>
    <row r="138" spans="2:25" ht="20.100000000000001" customHeight="1">
      <c r="B138" s="160"/>
      <c r="C138" s="160"/>
      <c r="D138" s="160"/>
      <c r="E138" s="161"/>
      <c r="F138" s="161"/>
      <c r="G138" s="162"/>
      <c r="H138" s="161"/>
      <c r="I138" s="161"/>
      <c r="J138" s="161"/>
      <c r="K138" s="161"/>
      <c r="L138" s="163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</row>
    <row r="139" spans="2:25" ht="20.100000000000001" customHeight="1">
      <c r="B139" s="160"/>
      <c r="C139" s="160"/>
      <c r="D139" s="160"/>
      <c r="E139" s="161"/>
      <c r="F139" s="161"/>
      <c r="G139" s="162"/>
      <c r="H139" s="161"/>
      <c r="I139" s="161"/>
      <c r="J139" s="161"/>
      <c r="K139" s="161"/>
      <c r="L139" s="163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</row>
    <row r="140" spans="2:25" ht="20.100000000000001" customHeight="1">
      <c r="B140" s="160"/>
      <c r="C140" s="160"/>
      <c r="D140" s="160"/>
      <c r="E140" s="161"/>
      <c r="F140" s="161"/>
      <c r="G140" s="162"/>
      <c r="H140" s="161"/>
      <c r="I140" s="161"/>
      <c r="J140" s="161"/>
      <c r="K140" s="161"/>
      <c r="L140" s="163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</row>
    <row r="141" spans="2:25" ht="20.100000000000001" customHeight="1">
      <c r="B141" s="160"/>
      <c r="C141" s="160"/>
      <c r="D141" s="160"/>
      <c r="E141" s="161"/>
      <c r="F141" s="161"/>
      <c r="G141" s="162"/>
      <c r="H141" s="161"/>
      <c r="I141" s="161"/>
      <c r="J141" s="161"/>
      <c r="K141" s="161"/>
      <c r="L141" s="163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</row>
    <row r="142" spans="2:25" ht="20.100000000000001" customHeight="1">
      <c r="B142" s="160"/>
      <c r="C142" s="160"/>
      <c r="D142" s="160"/>
      <c r="E142" s="161"/>
      <c r="F142" s="161"/>
      <c r="G142" s="162"/>
      <c r="H142" s="161"/>
      <c r="I142" s="161"/>
      <c r="J142" s="161"/>
      <c r="K142" s="161"/>
      <c r="L142" s="163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</row>
    <row r="143" spans="2:25" ht="20.100000000000001" customHeight="1">
      <c r="B143" s="160"/>
      <c r="C143" s="160"/>
      <c r="D143" s="160"/>
      <c r="E143" s="161"/>
      <c r="F143" s="161"/>
      <c r="G143" s="162"/>
      <c r="H143" s="161"/>
      <c r="I143" s="161"/>
      <c r="J143" s="161"/>
      <c r="K143" s="161"/>
      <c r="L143" s="163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</row>
    <row r="144" spans="2:25" ht="20.100000000000001" customHeight="1">
      <c r="B144" s="160"/>
      <c r="C144" s="160"/>
      <c r="D144" s="160"/>
      <c r="E144" s="161"/>
      <c r="F144" s="161"/>
      <c r="G144" s="162"/>
      <c r="H144" s="161"/>
      <c r="I144" s="161"/>
      <c r="J144" s="161"/>
      <c r="K144" s="161"/>
      <c r="L144" s="163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</row>
    <row r="145" spans="2:25" ht="20.100000000000001" customHeight="1">
      <c r="B145" s="160"/>
      <c r="C145" s="160"/>
      <c r="D145" s="160"/>
      <c r="E145" s="161"/>
      <c r="F145" s="161"/>
      <c r="G145" s="162"/>
      <c r="H145" s="161"/>
      <c r="I145" s="161"/>
      <c r="J145" s="161"/>
      <c r="K145" s="161"/>
      <c r="L145" s="163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</row>
    <row r="146" spans="2:25" ht="20.100000000000001" customHeight="1">
      <c r="B146" s="160"/>
      <c r="C146" s="160"/>
      <c r="D146" s="160"/>
      <c r="E146" s="161"/>
      <c r="F146" s="161"/>
      <c r="G146" s="162"/>
      <c r="H146" s="161"/>
      <c r="I146" s="161"/>
      <c r="J146" s="161"/>
      <c r="K146" s="161"/>
      <c r="L146" s="163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</row>
    <row r="147" spans="2:25" ht="20.100000000000001" customHeight="1">
      <c r="B147" s="160"/>
      <c r="C147" s="160"/>
      <c r="D147" s="160"/>
      <c r="E147" s="161"/>
      <c r="F147" s="161"/>
      <c r="G147" s="162"/>
      <c r="H147" s="161"/>
      <c r="I147" s="161"/>
      <c r="J147" s="161"/>
      <c r="K147" s="161"/>
      <c r="L147" s="163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</row>
    <row r="148" spans="2:25" ht="20.100000000000001" customHeight="1">
      <c r="B148" s="160"/>
      <c r="C148" s="160"/>
      <c r="D148" s="160"/>
      <c r="E148" s="161"/>
      <c r="F148" s="161"/>
      <c r="G148" s="162"/>
      <c r="H148" s="161"/>
      <c r="I148" s="161"/>
      <c r="J148" s="161"/>
      <c r="K148" s="161"/>
      <c r="L148" s="163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</row>
    <row r="149" spans="2:25" ht="20.100000000000001" customHeight="1">
      <c r="B149" s="160"/>
      <c r="C149" s="160"/>
      <c r="D149" s="160"/>
      <c r="E149" s="161"/>
      <c r="F149" s="161"/>
      <c r="G149" s="162"/>
      <c r="H149" s="161"/>
      <c r="I149" s="161"/>
      <c r="J149" s="161"/>
      <c r="K149" s="161"/>
      <c r="L149" s="163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</row>
    <row r="150" spans="2:25" ht="20.100000000000001" customHeight="1">
      <c r="B150" s="160"/>
      <c r="C150" s="160"/>
      <c r="D150" s="160"/>
      <c r="E150" s="161"/>
      <c r="F150" s="161"/>
      <c r="G150" s="162"/>
      <c r="H150" s="161"/>
      <c r="I150" s="161"/>
      <c r="J150" s="161"/>
      <c r="K150" s="161"/>
      <c r="L150" s="163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</row>
    <row r="151" spans="2:25" ht="20.100000000000001" customHeight="1">
      <c r="B151" s="160"/>
      <c r="C151" s="160"/>
      <c r="D151" s="160"/>
      <c r="E151" s="161"/>
      <c r="F151" s="161"/>
      <c r="G151" s="162"/>
      <c r="H151" s="161"/>
      <c r="I151" s="161"/>
      <c r="J151" s="161"/>
      <c r="K151" s="161"/>
      <c r="L151" s="163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</row>
    <row r="152" spans="2:25" ht="20.100000000000001" customHeight="1">
      <c r="B152" s="160"/>
      <c r="C152" s="160"/>
      <c r="D152" s="160"/>
      <c r="E152" s="161"/>
      <c r="F152" s="161"/>
      <c r="G152" s="162"/>
      <c r="H152" s="161"/>
      <c r="I152" s="161"/>
      <c r="J152" s="161"/>
      <c r="K152" s="161"/>
      <c r="L152" s="163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</row>
    <row r="153" spans="2:25" ht="20.100000000000001" customHeight="1">
      <c r="B153" s="160"/>
      <c r="C153" s="160"/>
      <c r="D153" s="160"/>
      <c r="E153" s="161"/>
      <c r="F153" s="161"/>
      <c r="G153" s="162"/>
      <c r="H153" s="161"/>
      <c r="I153" s="161"/>
      <c r="J153" s="161"/>
      <c r="K153" s="161"/>
      <c r="L153" s="163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</row>
    <row r="154" spans="2:25" ht="20.100000000000001" customHeight="1">
      <c r="B154" s="160"/>
      <c r="C154" s="160"/>
      <c r="D154" s="160"/>
      <c r="E154" s="161"/>
      <c r="F154" s="161"/>
      <c r="G154" s="162"/>
      <c r="H154" s="161"/>
      <c r="I154" s="161"/>
      <c r="J154" s="161"/>
      <c r="K154" s="161"/>
      <c r="L154" s="163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</row>
    <row r="155" spans="2:25" ht="20.100000000000001" customHeight="1">
      <c r="B155" s="160"/>
      <c r="C155" s="160"/>
      <c r="D155" s="160"/>
      <c r="E155" s="161"/>
      <c r="F155" s="161"/>
      <c r="G155" s="162"/>
      <c r="H155" s="161"/>
      <c r="I155" s="161"/>
      <c r="J155" s="161"/>
      <c r="K155" s="161"/>
      <c r="L155" s="163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</row>
    <row r="156" spans="2:25" ht="20.100000000000001" customHeight="1">
      <c r="B156" s="160"/>
      <c r="C156" s="160"/>
      <c r="D156" s="160"/>
      <c r="E156" s="161"/>
      <c r="F156" s="161"/>
      <c r="G156" s="162"/>
      <c r="H156" s="161"/>
      <c r="I156" s="161"/>
      <c r="J156" s="161"/>
      <c r="K156" s="161"/>
      <c r="L156" s="163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</row>
    <row r="157" spans="2:25" ht="20.100000000000001" customHeight="1">
      <c r="B157" s="160"/>
      <c r="C157" s="160"/>
      <c r="D157" s="160"/>
      <c r="E157" s="161"/>
      <c r="F157" s="161"/>
      <c r="G157" s="162"/>
      <c r="H157" s="161"/>
      <c r="I157" s="161"/>
      <c r="J157" s="161"/>
      <c r="K157" s="161"/>
      <c r="L157" s="163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</row>
    <row r="158" spans="2:25" ht="20.100000000000001" customHeight="1">
      <c r="B158" s="160"/>
      <c r="C158" s="160"/>
      <c r="D158" s="160"/>
      <c r="E158" s="161"/>
      <c r="F158" s="161"/>
      <c r="G158" s="162"/>
      <c r="H158" s="161"/>
      <c r="I158" s="161"/>
      <c r="J158" s="161"/>
      <c r="K158" s="161"/>
      <c r="L158" s="163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</row>
    <row r="159" spans="2:25" ht="20.100000000000001" customHeight="1">
      <c r="B159" s="160"/>
      <c r="C159" s="160"/>
      <c r="D159" s="160"/>
      <c r="E159" s="161"/>
      <c r="F159" s="161"/>
      <c r="G159" s="162"/>
      <c r="H159" s="161"/>
      <c r="I159" s="161"/>
      <c r="J159" s="161"/>
      <c r="K159" s="161"/>
      <c r="L159" s="163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</row>
    <row r="160" spans="2:25" ht="20.100000000000001" customHeight="1">
      <c r="B160" s="160"/>
      <c r="C160" s="160"/>
      <c r="D160" s="160"/>
      <c r="E160" s="161"/>
      <c r="F160" s="161"/>
      <c r="G160" s="162"/>
      <c r="H160" s="161"/>
      <c r="I160" s="161"/>
      <c r="J160" s="161"/>
      <c r="K160" s="161"/>
      <c r="L160" s="163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</row>
    <row r="161" spans="2:25" ht="20.100000000000001" customHeight="1">
      <c r="B161" s="160"/>
      <c r="C161" s="160"/>
      <c r="D161" s="160"/>
      <c r="E161" s="161"/>
      <c r="F161" s="161"/>
      <c r="G161" s="162"/>
      <c r="H161" s="161"/>
      <c r="I161" s="161"/>
      <c r="J161" s="161"/>
      <c r="K161" s="161"/>
      <c r="L161" s="163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</row>
    <row r="162" spans="2:25" ht="20.100000000000001" customHeight="1">
      <c r="B162" s="160"/>
      <c r="C162" s="160"/>
      <c r="D162" s="160"/>
      <c r="E162" s="161"/>
      <c r="F162" s="161"/>
      <c r="G162" s="162"/>
      <c r="H162" s="161"/>
      <c r="I162" s="161"/>
      <c r="J162" s="161"/>
      <c r="K162" s="161"/>
      <c r="L162" s="163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</row>
    <row r="163" spans="2:25" ht="20.100000000000001" customHeight="1">
      <c r="B163" s="160"/>
      <c r="C163" s="160"/>
      <c r="D163" s="160"/>
      <c r="E163" s="161"/>
      <c r="F163" s="161"/>
      <c r="G163" s="162"/>
      <c r="H163" s="161"/>
      <c r="I163" s="161"/>
      <c r="J163" s="161"/>
      <c r="K163" s="161"/>
      <c r="L163" s="163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</row>
    <row r="164" spans="2:25" ht="20.100000000000001" customHeight="1">
      <c r="B164" s="160"/>
      <c r="C164" s="160"/>
      <c r="D164" s="160"/>
      <c r="E164" s="161"/>
      <c r="F164" s="161"/>
      <c r="G164" s="162"/>
      <c r="H164" s="161"/>
      <c r="I164" s="161"/>
      <c r="J164" s="161"/>
      <c r="K164" s="161"/>
      <c r="L164" s="163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</row>
    <row r="165" spans="2:25" ht="20.100000000000001" customHeight="1">
      <c r="B165" s="160"/>
      <c r="C165" s="160"/>
      <c r="D165" s="160"/>
      <c r="E165" s="161"/>
      <c r="F165" s="161"/>
      <c r="G165" s="162"/>
      <c r="H165" s="161"/>
      <c r="I165" s="161"/>
      <c r="J165" s="161"/>
      <c r="K165" s="161"/>
      <c r="L165" s="163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</row>
    <row r="166" spans="2:25" ht="20.100000000000001" customHeight="1">
      <c r="B166" s="160"/>
      <c r="C166" s="160"/>
      <c r="D166" s="160"/>
      <c r="E166" s="161"/>
      <c r="F166" s="161"/>
      <c r="G166" s="162"/>
      <c r="H166" s="161"/>
      <c r="I166" s="161"/>
      <c r="J166" s="161"/>
      <c r="K166" s="161"/>
      <c r="L166" s="163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</row>
    <row r="167" spans="2:25" ht="20.100000000000001" customHeight="1">
      <c r="B167" s="160"/>
      <c r="C167" s="160"/>
      <c r="D167" s="160"/>
      <c r="E167" s="161"/>
      <c r="F167" s="161"/>
      <c r="G167" s="162"/>
      <c r="H167" s="161"/>
      <c r="I167" s="161"/>
      <c r="J167" s="161"/>
      <c r="K167" s="161"/>
      <c r="L167" s="163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</row>
    <row r="168" spans="2:25" ht="20.100000000000001" customHeight="1">
      <c r="B168" s="160"/>
      <c r="C168" s="160"/>
      <c r="D168" s="160"/>
      <c r="E168" s="161"/>
      <c r="F168" s="161"/>
      <c r="G168" s="162"/>
      <c r="H168" s="161"/>
      <c r="I168" s="161"/>
      <c r="J168" s="161"/>
      <c r="K168" s="161"/>
      <c r="L168" s="163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</row>
    <row r="169" spans="2:25" ht="20.100000000000001" customHeight="1">
      <c r="B169" s="160"/>
      <c r="C169" s="160"/>
      <c r="D169" s="160"/>
      <c r="E169" s="161"/>
      <c r="F169" s="161"/>
      <c r="G169" s="162"/>
      <c r="H169" s="161"/>
      <c r="I169" s="161"/>
      <c r="J169" s="161"/>
      <c r="K169" s="161"/>
      <c r="L169" s="163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</row>
    <row r="170" spans="2:25" ht="20.100000000000001" customHeight="1">
      <c r="B170" s="160"/>
      <c r="C170" s="160"/>
      <c r="D170" s="160"/>
      <c r="E170" s="161"/>
      <c r="F170" s="161"/>
      <c r="G170" s="162"/>
      <c r="H170" s="161"/>
      <c r="I170" s="161"/>
      <c r="J170" s="161"/>
      <c r="K170" s="161"/>
      <c r="L170" s="163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</row>
    <row r="171" spans="2:25" ht="20.100000000000001" customHeight="1">
      <c r="B171" s="160"/>
      <c r="C171" s="160"/>
      <c r="D171" s="160"/>
      <c r="E171" s="161"/>
      <c r="F171" s="161"/>
      <c r="G171" s="162"/>
      <c r="H171" s="161"/>
      <c r="I171" s="161"/>
      <c r="J171" s="161"/>
      <c r="K171" s="161"/>
      <c r="L171" s="163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</row>
    <row r="172" spans="2:25" ht="20.100000000000001" customHeight="1">
      <c r="B172" s="160"/>
      <c r="C172" s="160"/>
      <c r="D172" s="160"/>
      <c r="E172" s="161"/>
      <c r="F172" s="161"/>
      <c r="G172" s="162"/>
      <c r="H172" s="161"/>
      <c r="I172" s="161"/>
      <c r="J172" s="161"/>
      <c r="K172" s="161"/>
      <c r="L172" s="163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</row>
    <row r="173" spans="2:25" ht="20.100000000000001" customHeight="1">
      <c r="B173" s="160"/>
      <c r="C173" s="160"/>
      <c r="D173" s="160"/>
      <c r="E173" s="161"/>
      <c r="F173" s="161"/>
      <c r="G173" s="162"/>
      <c r="H173" s="161"/>
      <c r="I173" s="161"/>
      <c r="J173" s="161"/>
      <c r="K173" s="161"/>
      <c r="L173" s="163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</row>
    <row r="174" spans="2:25" ht="20.100000000000001" customHeight="1">
      <c r="B174" s="160"/>
      <c r="C174" s="160"/>
      <c r="D174" s="160"/>
      <c r="E174" s="161"/>
      <c r="F174" s="161"/>
      <c r="G174" s="162"/>
      <c r="H174" s="161"/>
      <c r="I174" s="161"/>
      <c r="J174" s="161"/>
      <c r="K174" s="161"/>
      <c r="L174" s="163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</row>
    <row r="175" spans="2:25" ht="20.100000000000001" customHeight="1">
      <c r="B175" s="160"/>
      <c r="C175" s="160"/>
      <c r="D175" s="160"/>
      <c r="E175" s="161"/>
      <c r="F175" s="161"/>
      <c r="G175" s="162"/>
      <c r="H175" s="161"/>
      <c r="I175" s="161"/>
      <c r="J175" s="161"/>
      <c r="K175" s="161"/>
      <c r="L175" s="163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</row>
    <row r="176" spans="2:25" ht="20.100000000000001" customHeight="1">
      <c r="B176" s="160"/>
      <c r="C176" s="160"/>
      <c r="D176" s="160"/>
      <c r="E176" s="161"/>
      <c r="F176" s="161"/>
      <c r="G176" s="162"/>
      <c r="H176" s="161"/>
      <c r="I176" s="161"/>
      <c r="J176" s="161"/>
      <c r="K176" s="161"/>
      <c r="L176" s="163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</row>
    <row r="177" spans="2:25" ht="20.100000000000001" customHeight="1">
      <c r="B177" s="160"/>
      <c r="C177" s="160"/>
      <c r="D177" s="160"/>
      <c r="E177" s="161"/>
      <c r="F177" s="161"/>
      <c r="G177" s="162"/>
      <c r="H177" s="161"/>
      <c r="I177" s="161"/>
      <c r="J177" s="161"/>
      <c r="K177" s="161"/>
      <c r="L177" s="163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</row>
    <row r="178" spans="2:25" ht="20.100000000000001" customHeight="1">
      <c r="B178" s="160"/>
      <c r="C178" s="160"/>
      <c r="D178" s="160"/>
      <c r="E178" s="161"/>
      <c r="F178" s="161"/>
      <c r="G178" s="162"/>
      <c r="H178" s="161"/>
      <c r="I178" s="161"/>
      <c r="J178" s="161"/>
      <c r="K178" s="161"/>
      <c r="L178" s="163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</row>
    <row r="179" spans="2:25" ht="20.100000000000001" customHeight="1">
      <c r="B179" s="160"/>
      <c r="C179" s="160"/>
      <c r="D179" s="160"/>
      <c r="E179" s="161"/>
      <c r="F179" s="161"/>
      <c r="G179" s="162"/>
      <c r="H179" s="161"/>
      <c r="I179" s="161"/>
      <c r="J179" s="161"/>
      <c r="K179" s="161"/>
      <c r="L179" s="163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</row>
    <row r="180" spans="2:25" ht="20.100000000000001" customHeight="1">
      <c r="B180" s="160"/>
      <c r="C180" s="160"/>
      <c r="D180" s="160"/>
      <c r="E180" s="161"/>
      <c r="F180" s="161"/>
      <c r="G180" s="162"/>
      <c r="H180" s="161"/>
      <c r="I180" s="161"/>
      <c r="J180" s="161"/>
      <c r="K180" s="161"/>
      <c r="L180" s="163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</row>
    <row r="181" spans="2:25" ht="20.100000000000001" customHeight="1">
      <c r="B181" s="160"/>
      <c r="C181" s="160"/>
      <c r="D181" s="160"/>
      <c r="E181" s="161"/>
      <c r="F181" s="161"/>
      <c r="G181" s="162"/>
      <c r="H181" s="161"/>
      <c r="I181" s="161"/>
      <c r="J181" s="161"/>
      <c r="K181" s="161"/>
      <c r="L181" s="163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</row>
    <row r="182" spans="2:25" ht="20.100000000000001" customHeight="1">
      <c r="B182" s="160"/>
      <c r="C182" s="160"/>
      <c r="D182" s="160"/>
      <c r="E182" s="161"/>
      <c r="F182" s="161"/>
      <c r="G182" s="162"/>
      <c r="H182" s="161"/>
      <c r="I182" s="161"/>
      <c r="J182" s="161"/>
      <c r="K182" s="161"/>
      <c r="L182" s="163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</row>
    <row r="183" spans="2:25" ht="20.100000000000001" customHeight="1">
      <c r="B183" s="160"/>
      <c r="C183" s="160"/>
      <c r="D183" s="160"/>
      <c r="E183" s="161"/>
      <c r="F183" s="161"/>
      <c r="G183" s="162"/>
      <c r="H183" s="161"/>
      <c r="I183" s="161"/>
      <c r="J183" s="161"/>
      <c r="K183" s="161"/>
      <c r="L183" s="163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</row>
    <row r="184" spans="2:25" ht="20.100000000000001" customHeight="1"/>
    <row r="185" spans="2:25" ht="20.100000000000001" customHeight="1"/>
    <row r="186" spans="2:25" ht="20.100000000000001" customHeight="1"/>
    <row r="187" spans="2:25" ht="20.100000000000001" customHeight="1"/>
    <row r="188" spans="2:25" ht="20.100000000000001" customHeight="1"/>
    <row r="189" spans="2:25" ht="20.100000000000001" customHeight="1"/>
    <row r="190" spans="2:25" ht="20.100000000000001" customHeight="1"/>
    <row r="191" spans="2:25" ht="20.100000000000001" customHeight="1"/>
    <row r="192" spans="2:25" ht="20.100000000000001" customHeight="1"/>
  </sheetData>
  <autoFilter ref="B1:T64" xr:uid="{00000000-0001-0000-0100-000000000000}"/>
  <sortState xmlns:xlrd2="http://schemas.microsoft.com/office/spreadsheetml/2017/richdata2" ref="B2:S64">
    <sortCondition ref="B2:B64"/>
  </sortState>
  <conditionalFormatting sqref="D1:D104">
    <cfRule type="expression" dxfId="11" priority="2">
      <formula>D1="משרד הבריאות"</formula>
    </cfRule>
  </conditionalFormatting>
  <conditionalFormatting sqref="V2:V104">
    <cfRule type="cellIs" dxfId="10" priority="1" operator="equal">
      <formula>"כן"</formula>
    </cfRule>
  </conditionalFormatting>
  <conditionalFormatting sqref="AC1:AC104">
    <cfRule type="cellIs" dxfId="9" priority="3" operator="equal">
      <formula>1</formula>
    </cfRule>
  </conditionalFormatting>
  <dataValidations count="6">
    <dataValidation type="list" allowBlank="1" showInputMessage="1" showErrorMessage="1" sqref="E13:E16 E19:E23 E25:E28 E33 E35 E37 E44 E47 E50:E53 E62 E64" xr:uid="{00000000-0002-0000-0100-000000000000}">
      <formula1>"איל,אנדרי,אהרון,שלום"</formula1>
    </dataValidation>
    <dataValidation type="list" allowBlank="1" showInputMessage="1" showErrorMessage="1" sqref="F13:F24 F27:F28 F32:F33 F35 F39 F43:F45 F47:F54 F56 F60:F63 F65 F67:F68" xr:uid="{00000000-0002-0000-0100-000001000000}">
      <formula1>"כללית,מכבי,לאומית,מאוחדת"</formula1>
    </dataValidation>
    <dataValidation type="list" allowBlank="1" showInputMessage="1" showErrorMessage="1" sqref="E17:E18 E24 E32 E39 E43 E45 E48:E49 E54 E56 E59:E61 E63 E65" xr:uid="{00000000-0002-0000-0100-000002000000}">
      <formula1>"רוזט,אנדרי,אהרון,שלום"</formula1>
    </dataValidation>
    <dataValidation type="textLength" operator="greaterThan" allowBlank="1" showInputMessage="1" showErrorMessage="1" sqref="J49" xr:uid="{432A9090-BB81-43FD-A23E-B26ABD8ED5F6}">
      <formula1>10</formula1>
    </dataValidation>
    <dataValidation type="list" allowBlank="1" showInputMessage="1" showErrorMessage="1" sqref="V67:V68" xr:uid="{4D9502F1-6687-4582-992C-A6EC42CDD56C}">
      <formula1>"כן"</formula1>
    </dataValidation>
    <dataValidation type="list" allowBlank="1" showInputMessage="1" showErrorMessage="1" sqref="E67:E68" xr:uid="{1872C17D-B160-477D-860F-151060BD6EC4}">
      <formula1>"רוזט,אנדרי,אריסטרך,שלום"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Sheet1</vt:lpstr>
      <vt:lpstr>סיימו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Alexander Hatkevich</cp:lastModifiedBy>
  <cp:lastPrinted>2026-04-13T05:59:27Z</cp:lastPrinted>
  <dcterms:created xsi:type="dcterms:W3CDTF">2015-06-05T18:17:20Z</dcterms:created>
  <dcterms:modified xsi:type="dcterms:W3CDTF">2026-06-23T08:29:51Z</dcterms:modified>
</cp:coreProperties>
</file>